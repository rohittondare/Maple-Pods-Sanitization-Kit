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360" yWindow="690" windowWidth="23250" windowHeight="12240" activeTab="1"/>
  </bookViews>
  <sheets>
    <sheet name="CL" sheetId="7" r:id="rId1"/>
    <sheet name="QOT" sheetId="18" r:id="rId2"/>
    <sheet name="T&amp;C" sheetId="20" r:id="rId3"/>
    <sheet name="Sheet1" sheetId="21" r:id="rId4"/>
    <sheet name="Sheet2" sheetId="22" r:id="rId5"/>
  </sheets>
  <functionGroups builtInGroupCount="17"/>
  <definedNames>
    <definedName name="_xlnm.Print_Area" localSheetId="0">CL!$A$1:$F$32</definedName>
    <definedName name="_xlnm.Print_Area" localSheetId="1">QOT!$A$1:$F$27</definedName>
    <definedName name="_xlnm.Print_Area" localSheetId="2">'T&amp;C'!$A$1:$D$26</definedName>
  </definedNames>
  <calcPr calcId="144525"/>
</workbook>
</file>

<file path=xl/calcChain.xml><?xml version="1.0" encoding="utf-8"?>
<calcChain xmlns="http://schemas.openxmlformats.org/spreadsheetml/2006/main">
  <c r="F13" i="18" l="1"/>
  <c r="G14" i="21" l="1"/>
  <c r="E5" i="22"/>
  <c r="F5" i="22" s="1"/>
  <c r="H5" i="22" s="1"/>
  <c r="E3" i="22"/>
  <c r="F3" i="22" s="1"/>
  <c r="H3" i="22" s="1"/>
  <c r="F2" i="22"/>
  <c r="H2" i="22" s="1"/>
  <c r="H11" i="22" s="1"/>
  <c r="G7" i="21"/>
  <c r="G8" i="21"/>
  <c r="G9" i="21"/>
  <c r="G10" i="21"/>
  <c r="G11" i="21"/>
  <c r="G12" i="21"/>
  <c r="G6" i="21"/>
</calcChain>
</file>

<file path=xl/sharedStrings.xml><?xml version="1.0" encoding="utf-8"?>
<sst xmlns="http://schemas.openxmlformats.org/spreadsheetml/2006/main" count="86" uniqueCount="81">
  <si>
    <t>1.</t>
  </si>
  <si>
    <t>To,</t>
  </si>
  <si>
    <t>Sir,</t>
  </si>
  <si>
    <t>Kind Attn</t>
  </si>
  <si>
    <t>Subject</t>
  </si>
  <si>
    <t>Should you require any further clarification, please do not hesitate to contact us.</t>
  </si>
  <si>
    <t>Thanking you and assuring you of our best services at all times,</t>
  </si>
  <si>
    <r>
      <t xml:space="preserve">For </t>
    </r>
    <r>
      <rPr>
        <b/>
        <sz val="11"/>
        <color theme="1"/>
        <rFont val="Verdana"/>
        <family val="2"/>
      </rPr>
      <t>GLOBAL INFRASTRUCTURE</t>
    </r>
  </si>
  <si>
    <t>Shirish Tondare</t>
  </si>
  <si>
    <t xml:space="preserve">Encl :   1. </t>
  </si>
  <si>
    <t>Quotation</t>
  </si>
  <si>
    <t xml:space="preserve">2. </t>
  </si>
  <si>
    <t>General Terms and Conditions</t>
  </si>
  <si>
    <t>General Terms:</t>
  </si>
  <si>
    <r>
      <t xml:space="preserve">The above rates are </t>
    </r>
    <r>
      <rPr>
        <b/>
        <sz val="11"/>
        <color rgb="FF000000"/>
        <rFont val="Verdana"/>
        <family val="2"/>
      </rPr>
      <t>EXCLUSIVE</t>
    </r>
    <r>
      <rPr>
        <sz val="11"/>
        <color rgb="FF000000"/>
        <rFont val="Verdana"/>
        <family val="2"/>
      </rPr>
      <t xml:space="preserve"> of GST @ 18% or as applicable and any other Taxes and Duties which shall be charged extra.</t>
    </r>
  </si>
  <si>
    <t>All quantities mentioned in this quotation are approximate. Billing shall be done as per actual measurments at Site, after completion of work.</t>
  </si>
  <si>
    <t>Extra Item, If any, shall be charged separately.</t>
  </si>
  <si>
    <t>Payment Terms:</t>
  </si>
  <si>
    <t>The above rates are Valid for 30 days from the date of Quotation.</t>
  </si>
  <si>
    <t>February 4, '20</t>
  </si>
  <si>
    <t xml:space="preserve">: </t>
  </si>
  <si>
    <t>: Sub Structure Waterproofing</t>
  </si>
  <si>
    <t>With reference to our discussion and subsequent Site Visit for Basement Waterproofing Works, we are pleased to submit our Quotation, Data Sheets and General Terms and Conditions for Waterproofing work at the above mentioned site for your kind perusal.</t>
  </si>
  <si>
    <t>ALFA LAVAL</t>
  </si>
  <si>
    <t>Description</t>
  </si>
  <si>
    <t>Quantity</t>
  </si>
  <si>
    <t>Item No.</t>
  </si>
  <si>
    <t>Dapodi, PUNE</t>
  </si>
  <si>
    <t xml:space="preserve">3. </t>
  </si>
  <si>
    <t>Company Profile</t>
  </si>
  <si>
    <t>Ref: GI/PUN/0160</t>
  </si>
  <si>
    <t>TOTAL</t>
  </si>
  <si>
    <t>Price</t>
  </si>
  <si>
    <t>GST</t>
  </si>
  <si>
    <t>Final Price</t>
  </si>
  <si>
    <t>Automatic Hand Sanitizer Dispenser</t>
  </si>
  <si>
    <t>Height Adjustable Stand</t>
  </si>
  <si>
    <t>Extension Cord - 5 mtr</t>
  </si>
  <si>
    <t>Model</t>
  </si>
  <si>
    <t>2 ltr indoor</t>
  </si>
  <si>
    <t>5 ltr indoor</t>
  </si>
  <si>
    <t>5 ltr outdoor</t>
  </si>
  <si>
    <t>2 ltr outdoor</t>
  </si>
  <si>
    <t>pipe</t>
  </si>
  <si>
    <t>l angle half</t>
  </si>
  <si>
    <t>plastic bolt and nut</t>
  </si>
  <si>
    <t>length</t>
  </si>
  <si>
    <t>cm</t>
  </si>
  <si>
    <t>per stand</t>
  </si>
  <si>
    <t>cost</t>
  </si>
  <si>
    <t>welding</t>
  </si>
  <si>
    <t>oil paint</t>
  </si>
  <si>
    <t>Poweder Coated</t>
  </si>
  <si>
    <t>Oil painted</t>
  </si>
  <si>
    <t>Kind Attn : Gururaj Malgonda</t>
  </si>
  <si>
    <t>Subject : Quotation</t>
  </si>
  <si>
    <t>2</t>
  </si>
  <si>
    <t>3</t>
  </si>
  <si>
    <t>Transport will be charged extra based on the location of delivery.</t>
  </si>
  <si>
    <t>1</t>
  </si>
  <si>
    <t>Date : 27/07/2020</t>
  </si>
  <si>
    <t>Ref No. : YAN/PUN/001</t>
  </si>
  <si>
    <t>Terms &amp; Conditions:</t>
  </si>
  <si>
    <t>Above rates are valid for 15 days from the date of this quotation.</t>
  </si>
  <si>
    <r>
      <t xml:space="preserve">All Payments to be made in favour of </t>
    </r>
    <r>
      <rPr>
        <b/>
        <sz val="11"/>
        <rFont val="Calibri"/>
        <family val="2"/>
        <scheme val="minor"/>
      </rPr>
      <t xml:space="preserve">Global Infrastructure </t>
    </r>
    <r>
      <rPr>
        <sz val="11"/>
        <rFont val="Calibri"/>
        <family val="2"/>
        <scheme val="minor"/>
      </rPr>
      <t>only.</t>
    </r>
  </si>
  <si>
    <t>PRICE LIST</t>
  </si>
  <si>
    <t>Above rate are Exclusive of GST.</t>
  </si>
  <si>
    <t>Sanitizer Mist Sprayer System</t>
  </si>
  <si>
    <t>Kind Attn : Ayush Singh</t>
  </si>
  <si>
    <t>Sr. No.</t>
  </si>
  <si>
    <t>Item Description</t>
  </si>
  <si>
    <t>UOM</t>
  </si>
  <si>
    <t>Rate</t>
  </si>
  <si>
    <t>Amount</t>
  </si>
  <si>
    <t>Nos</t>
  </si>
  <si>
    <t xml:space="preserve">         Maple Pods, Delhi</t>
  </si>
  <si>
    <t>Above rates are Ex- Pune godown. Transportation additional at actuals.</t>
  </si>
  <si>
    <t>An amount of 50% of approximate value of work shall be paid as Advance and Balance on Delivery.</t>
  </si>
  <si>
    <t>Includes : Pump, SMPS, 2 Anti Drip Mist Nozzles, Pipe, Electronics, 1 Door Sensor, Panel for mounting controls, Connectors, Valve, Wire, PIR Sensor and Microcontroller .</t>
  </si>
  <si>
    <t>Date     : 21/11/2020</t>
  </si>
  <si>
    <t>Ref No. : YAN/DMP/013B</t>
  </si>
</sst>
</file>

<file path=xl/styles.xml><?xml version="1.0" encoding="utf-8"?>
<styleSheet xmlns="http://schemas.openxmlformats.org/spreadsheetml/2006/main" xmlns:mc="http://schemas.openxmlformats.org/markup-compatibility/2006" xmlns:x14ac="http://schemas.microsoft.com/office/spreadsheetml/2009/9/ac" mc:Ignorable="x14ac">
  <numFmts count="43">
    <numFmt numFmtId="5" formatCode="&quot;$&quot;#,##0_);\(&quot;$&quot;#,##0\)"/>
    <numFmt numFmtId="44" formatCode="_(&quot;$&quot;* #,##0.00_);_(&quot;$&quot;* \(#,##0.00\);_(&quot;$&quot;* &quot;-&quot;??_);_(@_)"/>
    <numFmt numFmtId="43" formatCode="_(* #,##0.00_);_(* \(#,##0.00\);_(* &quot;-&quot;??_);_(@_)"/>
    <numFmt numFmtId="164" formatCode="0.000"/>
    <numFmt numFmtId="165" formatCode="_(* #,##0_);_(* \(#,##0\);_(* &quot;-&quot;??_);_(@_)"/>
    <numFmt numFmtId="166" formatCode="_ * #,##0_ ;_ * \-#,##0_ ;_ * &quot;-&quot;_ ;_ @_ "/>
    <numFmt numFmtId="167" formatCode="_ * #,##0.00_ ;_ * \-#,##0.00_ ;_ * &quot;-&quot;??_ ;_ @_ "/>
    <numFmt numFmtId="168" formatCode="_-* #,##0_-;\-* #,##0_-;_-* &quot;-&quot;_-;_-@_-"/>
    <numFmt numFmtId="169" formatCode="_-* #,##0.00_-;\-* #,##0.00_-;_-* &quot;-&quot;??_-;_-@_-"/>
    <numFmt numFmtId="170" formatCode="[$-F800]dddd\,\ mmmm\ dd\,\ yyyy"/>
    <numFmt numFmtId="171" formatCode="_(* #,##0.00_);_(* \(#,##0.00\);_(* \-??_);_(@_)"/>
    <numFmt numFmtId="172" formatCode="[$-409]d\-mmm\-yy;@"/>
    <numFmt numFmtId="173" formatCode="#,##0;\-#,##0;&quot;-&quot;"/>
    <numFmt numFmtId="174" formatCode="#,##0_);[Red]\(#,##0\);;@"/>
    <numFmt numFmtId="175" formatCode="0.00_)"/>
    <numFmt numFmtId="176" formatCode="mm/dd/yy"/>
    <numFmt numFmtId="177" formatCode="_-&quot;£&quot;* #,##0.00_-;\-&quot;£&quot;* #,##0.00_-;_-&quot;£&quot;* &quot;-&quot;??_-;_-@_-"/>
    <numFmt numFmtId="178" formatCode="#,##0.0"/>
    <numFmt numFmtId="179" formatCode="&quot;L.&quot;\ #,##0;[Red]\-&quot;L.&quot;\ #,##0"/>
    <numFmt numFmtId="180" formatCode="_(* #,##0_);_(* \(#,##0\);_(* &quot;-&quot;?????_);_(@_)"/>
    <numFmt numFmtId="181" formatCode="#,##0.0000_);\(#,##0.0000\)"/>
    <numFmt numFmtId="182" formatCode="General_)"/>
    <numFmt numFmtId="183" formatCode="0###0"/>
    <numFmt numFmtId="184" formatCode="&quot;Rs.&quot;#,##0_);[Red]\(&quot;Rs.&quot;#,##0\)"/>
    <numFmt numFmtId="185" formatCode="&quot;$&quot;#,##0.00;[Red]\-&quot;$&quot;#,##0.00"/>
    <numFmt numFmtId="186" formatCode="&quot;Rs.&quot;#,##0.00_);\(&quot;Rs.&quot;#,##0.00\)"/>
    <numFmt numFmtId="187" formatCode="_([$€-2]* #,##0.00_);_([$€-2]* \(#,##0.00\);_([$€-2]* &quot;-&quot;??_)"/>
    <numFmt numFmtId="188" formatCode="General\ ;[Red]\(General\)"/>
    <numFmt numFmtId="189" formatCode="#."/>
    <numFmt numFmtId="190" formatCode="_-* #,##0\ _F_-;\-* #,##0\ _F_-;_-* &quot;-&quot;\ _F_-;_-@_-"/>
    <numFmt numFmtId="191" formatCode="_-* #,##0.00\ _F_-;\-* #,##0.00\ _F_-;_-* &quot;-&quot;??\ _F_-;_-@_-"/>
    <numFmt numFmtId="192" formatCode="_ * #,##0_)\ &quot;$&quot;_ ;_ * \(#,##0\)\ &quot;$&quot;_ ;_ * &quot;-&quot;_)\ &quot;$&quot;_ ;_ @_ "/>
    <numFmt numFmtId="193" formatCode="_ * #,##0.00_)\ &quot;$&quot;_ ;_ * \(#,##0.00\)\ &quot;$&quot;_ ;_ * &quot;-&quot;??_)\ &quot;$&quot;_ ;_ @_ "/>
    <numFmt numFmtId="194" formatCode="0##0"/>
    <numFmt numFmtId="195" formatCode="_-&quot;L.&quot;\ * #,##0_-;\-&quot;L.&quot;\ * #,##0_-;_-&quot;L.&quot;\ * &quot;-&quot;_-;_-@_-"/>
    <numFmt numFmtId="196" formatCode="_-&quot;L.&quot;\ * #,##0.00_-;\-&quot;L.&quot;\ * #,##0.00_-;_-&quot;L.&quot;\ * &quot;-&quot;??_-;_-@_-"/>
    <numFmt numFmtId="197" formatCode="_ &quot;Fr.&quot;\ * #,##0_ ;_ &quot;Fr.&quot;\ * \-#,##0_ ;_ &quot;Fr.&quot;\ * &quot;-&quot;_ ;_ @_ "/>
    <numFmt numFmtId="198" formatCode="_ &quot;Fr.&quot;\ * #,##0.00_ ;_ &quot;Fr.&quot;\ * \-#,##0.00_ ;_ &quot;Fr.&quot;\ * &quot;-&quot;??_ ;_ @_ "/>
    <numFmt numFmtId="199" formatCode="_-&quot;$&quot;* #,##0_-;\-&quot;$&quot;* #,##0_-;_-&quot;$&quot;* &quot;-&quot;_-;_-@_-"/>
    <numFmt numFmtId="200" formatCode="_-&quot;$&quot;* #,##0.00_-;\-&quot;$&quot;* #,##0.00_-;_-&quot;$&quot;* &quot;-&quot;??_-;_-@_-"/>
    <numFmt numFmtId="201" formatCode="&quot;\&quot;#,##0.00;[Red]&quot;\&quot;\-#,##0.00"/>
    <numFmt numFmtId="202" formatCode="&quot;\&quot;#,##0;[Red]&quot;\&quot;\-#,##0"/>
    <numFmt numFmtId="203" formatCode="#,##0\ &quot;BF&quot;;[Red]\-#,##0\ &quot;BF&quot;"/>
  </numFmts>
  <fonts count="99">
    <font>
      <sz val="11"/>
      <color theme="1"/>
      <name val="Tahoma"/>
      <family val="2"/>
    </font>
    <font>
      <sz val="11"/>
      <color theme="1"/>
      <name val="Tahoma"/>
      <family val="2"/>
    </font>
    <font>
      <b/>
      <sz val="11"/>
      <color theme="1"/>
      <name val="Tahoma"/>
      <family val="2"/>
    </font>
    <font>
      <sz val="10"/>
      <color theme="1"/>
      <name val="Tahoma"/>
      <family val="2"/>
    </font>
    <font>
      <sz val="11"/>
      <color theme="1"/>
      <name val="Calibri"/>
      <family val="2"/>
      <scheme val="minor"/>
    </font>
    <font>
      <b/>
      <sz val="11"/>
      <color theme="1"/>
      <name val="Calibri"/>
      <family val="2"/>
      <scheme val="minor"/>
    </font>
    <font>
      <b/>
      <sz val="15"/>
      <color theme="3"/>
      <name val="Calibri"/>
      <family val="2"/>
      <scheme val="minor"/>
    </font>
    <font>
      <sz val="11"/>
      <color rgb="FF000000"/>
      <name val="Calibri"/>
      <family val="2"/>
    </font>
    <font>
      <b/>
      <sz val="11"/>
      <color rgb="FF000000"/>
      <name val="Tahoma"/>
      <family val="2"/>
    </font>
    <font>
      <b/>
      <sz val="10"/>
      <color rgb="FF000000"/>
      <name val="Verdana"/>
      <family val="2"/>
    </font>
    <font>
      <sz val="10"/>
      <color rgb="FF000000"/>
      <name val="Verdana"/>
      <family val="2"/>
    </font>
    <font>
      <b/>
      <sz val="11"/>
      <color rgb="FF000000"/>
      <name val="Calibri"/>
      <family val="2"/>
    </font>
    <font>
      <b/>
      <sz val="11"/>
      <color theme="1"/>
      <name val="Verdana"/>
      <family val="2"/>
    </font>
    <font>
      <sz val="11"/>
      <color theme="1"/>
      <name val="Verdana"/>
      <family val="2"/>
    </font>
    <font>
      <b/>
      <sz val="11"/>
      <color theme="3"/>
      <name val="Verdana"/>
      <family val="2"/>
    </font>
    <font>
      <sz val="10"/>
      <color theme="1"/>
      <name val="Verdana"/>
      <family val="2"/>
    </font>
    <font>
      <b/>
      <sz val="11"/>
      <color rgb="FF000000"/>
      <name val="Verdana"/>
      <family val="2"/>
    </font>
    <font>
      <b/>
      <u/>
      <sz val="11"/>
      <color rgb="FF000000"/>
      <name val="Verdana"/>
      <family val="2"/>
    </font>
    <font>
      <sz val="11"/>
      <color rgb="FF000000"/>
      <name val="Verdana"/>
      <family val="2"/>
    </font>
    <font>
      <b/>
      <sz val="11"/>
      <color rgb="FF1F497D"/>
      <name val="Verdana"/>
      <family val="2"/>
    </font>
    <font>
      <sz val="11"/>
      <color rgb="FF1F497D"/>
      <name val="Verdana"/>
      <family val="2"/>
    </font>
    <font>
      <sz val="11"/>
      <color rgb="FF000000"/>
      <name val="Tahoma"/>
      <family val="2"/>
    </font>
    <font>
      <sz val="11"/>
      <color rgb="FF0070C0"/>
      <name val="Calibri"/>
      <family val="2"/>
      <scheme val="minor"/>
    </font>
    <font>
      <sz val="10"/>
      <name val="Arial"/>
      <family val="2"/>
    </font>
    <font>
      <sz val="11"/>
      <name val="Calibri"/>
      <family val="2"/>
    </font>
    <font>
      <sz val="10"/>
      <name val="Calibri"/>
      <family val="2"/>
    </font>
    <font>
      <sz val="11"/>
      <name val="Calibri"/>
      <family val="2"/>
      <charset val="1"/>
    </font>
    <font>
      <sz val="11"/>
      <color rgb="FFFF0000"/>
      <name val="Calibri"/>
      <family val="2"/>
      <scheme val="minor"/>
    </font>
    <font>
      <sz val="11"/>
      <color indexed="8"/>
      <name val="Calibri"/>
      <family val="2"/>
    </font>
    <font>
      <sz val="8"/>
      <name val="Arial"/>
      <family val="2"/>
    </font>
    <font>
      <u/>
      <sz val="10"/>
      <color indexed="12"/>
      <name val="Arial"/>
      <family val="2"/>
    </font>
    <font>
      <sz val="11"/>
      <name val="Arial"/>
      <family val="2"/>
    </font>
    <font>
      <sz val="10"/>
      <color indexed="10"/>
      <name val="Arial"/>
      <family val="2"/>
    </font>
    <font>
      <sz val="10"/>
      <color indexed="8"/>
      <name val="Arial"/>
      <family val="2"/>
    </font>
    <font>
      <sz val="10"/>
      <name val="Helv"/>
      <charset val="204"/>
    </font>
    <font>
      <sz val="10"/>
      <name val="Century Gothic"/>
      <family val="2"/>
    </font>
    <font>
      <sz val="12"/>
      <name val="Arial"/>
      <family val="2"/>
    </font>
    <font>
      <sz val="10"/>
      <name val="Arial"/>
      <family val="2"/>
      <charset val="204"/>
    </font>
    <font>
      <sz val="10"/>
      <color indexed="8"/>
      <name val="MS Sans Serif"/>
      <family val="2"/>
    </font>
    <font>
      <sz val="9"/>
      <color indexed="8"/>
      <name val="Times New Roman"/>
      <family val="1"/>
    </font>
    <font>
      <sz val="12"/>
      <name val="Tms Rmn"/>
    </font>
    <font>
      <sz val="10"/>
      <name val="MS Serif"/>
      <family val="1"/>
    </font>
    <font>
      <sz val="12"/>
      <name val="Helv"/>
    </font>
    <font>
      <sz val="10"/>
      <color indexed="16"/>
      <name val="MS Serif"/>
      <family val="1"/>
    </font>
    <font>
      <b/>
      <sz val="12"/>
      <name val="Arial"/>
      <family val="2"/>
    </font>
    <font>
      <b/>
      <sz val="14"/>
      <name val="Helv"/>
    </font>
    <font>
      <b/>
      <i/>
      <sz val="16"/>
      <name val="Helv"/>
    </font>
    <font>
      <sz val="8"/>
      <name val="Helv"/>
    </font>
    <font>
      <b/>
      <sz val="8"/>
      <color indexed="8"/>
      <name val="Helv"/>
    </font>
    <font>
      <sz val="24"/>
      <color indexed="13"/>
      <name val="Helv"/>
    </font>
    <font>
      <b/>
      <sz val="9"/>
      <name val="Arial"/>
      <family val="2"/>
    </font>
    <font>
      <sz val="12"/>
      <name val="Times New Roman"/>
      <family val="1"/>
    </font>
    <font>
      <sz val="11"/>
      <name val="?? ??"/>
      <family val="1"/>
      <charset val="128"/>
    </font>
    <font>
      <sz val="14"/>
      <name val="Terminal"/>
      <family val="3"/>
      <charset val="128"/>
    </font>
    <font>
      <sz val="10"/>
      <name val="Helv"/>
      <family val="2"/>
    </font>
    <font>
      <sz val="9"/>
      <name val="Arial"/>
      <family val="2"/>
    </font>
    <font>
      <sz val="8"/>
      <name val="Helv"/>
      <charset val="204"/>
    </font>
    <font>
      <b/>
      <sz val="14"/>
      <name val="Arial"/>
      <family val="2"/>
    </font>
    <font>
      <sz val="14"/>
      <name val="AngsanaUPC"/>
      <family val="1"/>
    </font>
    <font>
      <b/>
      <sz val="11"/>
      <name val="Times New Roman"/>
      <family val="1"/>
    </font>
    <font>
      <sz val="12"/>
      <name val="¹UAAA¼"/>
      <family val="3"/>
      <charset val="129"/>
    </font>
    <font>
      <sz val="10"/>
      <name val="Helv"/>
    </font>
    <font>
      <sz val="10"/>
      <name val="Times New Roman"/>
      <family val="1"/>
    </font>
    <font>
      <sz val="7"/>
      <name val="Helv"/>
    </font>
    <font>
      <b/>
      <sz val="10"/>
      <name val="MS Sans Serif"/>
      <family val="2"/>
    </font>
    <font>
      <sz val="12"/>
      <name val="¹ÙÅÁÃ¼"/>
      <charset val="129"/>
    </font>
    <font>
      <sz val="11"/>
      <name val="µ¸¿ò"/>
      <family val="3"/>
      <charset val="129"/>
    </font>
    <font>
      <b/>
      <sz val="10"/>
      <name val="Helv"/>
    </font>
    <font>
      <sz val="8"/>
      <name val="Helvetica-Narrow"/>
      <family val="2"/>
    </font>
    <font>
      <sz val="11"/>
      <name val="Courier"/>
      <family val="3"/>
    </font>
    <font>
      <b/>
      <u/>
      <sz val="11"/>
      <name val="Times New Roman"/>
      <family val="1"/>
    </font>
    <font>
      <b/>
      <sz val="10"/>
      <name val="Century Gothic"/>
      <family val="2"/>
    </font>
    <font>
      <b/>
      <sz val="1"/>
      <color indexed="8"/>
      <name val="Courier"/>
      <family val="3"/>
    </font>
    <font>
      <u/>
      <sz val="9"/>
      <color indexed="12"/>
      <name val="Arial"/>
      <family val="2"/>
    </font>
    <font>
      <b/>
      <sz val="11"/>
      <name val="Helv"/>
    </font>
    <font>
      <sz val="7"/>
      <name val="Small Fonts"/>
      <family val="2"/>
    </font>
    <font>
      <sz val="10"/>
      <name val="Courier"/>
      <family val="3"/>
    </font>
    <font>
      <b/>
      <sz val="10"/>
      <name val="Arial CE"/>
      <family val="2"/>
      <charset val="238"/>
    </font>
    <font>
      <sz val="7"/>
      <color indexed="10"/>
      <name val="Helv"/>
    </font>
    <font>
      <b/>
      <u/>
      <sz val="10"/>
      <color indexed="18"/>
      <name val="Century Gothic"/>
      <family val="2"/>
    </font>
    <font>
      <u/>
      <sz val="9"/>
      <color indexed="36"/>
      <name val="Arial"/>
      <family val="2"/>
    </font>
    <font>
      <sz val="10"/>
      <name val="MS Sans Serif"/>
      <family val="2"/>
    </font>
    <font>
      <sz val="12"/>
      <name val="Univers (WN)"/>
    </font>
    <font>
      <b/>
      <sz val="12"/>
      <color indexed="18"/>
      <name val="Times New Roman"/>
      <family val="1"/>
    </font>
    <font>
      <b/>
      <sz val="12"/>
      <name val="Times New Roman"/>
      <family val="1"/>
    </font>
    <font>
      <b/>
      <i/>
      <sz val="12"/>
      <name val="Times New Roman"/>
      <family val="1"/>
    </font>
    <font>
      <sz val="14"/>
      <name val="뼻뮝"/>
      <family val="3"/>
      <charset val="129"/>
    </font>
    <font>
      <sz val="12"/>
      <name val="뼻뮝"/>
      <family val="1"/>
      <charset val="129"/>
    </font>
    <font>
      <sz val="12"/>
      <name val="바탕체"/>
      <family val="1"/>
      <charset val="129"/>
    </font>
    <font>
      <sz val="10"/>
      <name val="굴림체"/>
      <family val="3"/>
      <charset val="129"/>
    </font>
    <font>
      <sz val="11"/>
      <name val="ＭＳ Ｐゴシック"/>
      <family val="3"/>
      <charset val="128"/>
    </font>
    <font>
      <sz val="10"/>
      <name val="Arial"/>
      <family val="2"/>
      <charset val="1"/>
    </font>
    <font>
      <sz val="10"/>
      <color theme="1"/>
      <name val="Arial"/>
      <family val="2"/>
    </font>
    <font>
      <sz val="11"/>
      <color rgb="FF000000"/>
      <name val="Arial"/>
      <family val="2"/>
    </font>
    <font>
      <sz val="11"/>
      <name val="Calibri"/>
      <family val="2"/>
      <scheme val="minor"/>
    </font>
    <font>
      <sz val="11"/>
      <color indexed="8"/>
      <name val="Calibri"/>
      <family val="2"/>
      <scheme val="minor"/>
    </font>
    <font>
      <b/>
      <sz val="11"/>
      <name val="Calibri"/>
      <family val="2"/>
      <scheme val="minor"/>
    </font>
    <font>
      <b/>
      <sz val="11"/>
      <color indexed="8"/>
      <name val="Calibri"/>
      <family val="2"/>
      <scheme val="minor"/>
    </font>
    <font>
      <b/>
      <sz val="11"/>
      <name val="Calibri"/>
      <family val="2"/>
      <charset val="1"/>
    </font>
  </fonts>
  <fills count="9">
    <fill>
      <patternFill patternType="none"/>
    </fill>
    <fill>
      <patternFill patternType="gray125"/>
    </fill>
    <fill>
      <patternFill patternType="lightGray">
        <fgColor indexed="13"/>
        <bgColor indexed="9"/>
      </patternFill>
    </fill>
    <fill>
      <patternFill patternType="solid">
        <fgColor indexed="22"/>
        <bgColor indexed="64"/>
      </patternFill>
    </fill>
    <fill>
      <patternFill patternType="solid">
        <fgColor indexed="26"/>
        <bgColor indexed="64"/>
      </patternFill>
    </fill>
    <fill>
      <patternFill patternType="solid">
        <fgColor indexed="13"/>
      </patternFill>
    </fill>
    <fill>
      <patternFill patternType="mediumGray">
        <fgColor indexed="22"/>
        <bgColor indexed="9"/>
      </patternFill>
    </fill>
    <fill>
      <patternFill patternType="solid">
        <fgColor indexed="12"/>
      </patternFill>
    </fill>
    <fill>
      <patternFill patternType="solid">
        <fgColor theme="0"/>
        <bgColor indexed="64"/>
      </patternFill>
    </fill>
  </fills>
  <borders count="26">
    <border>
      <left/>
      <right/>
      <top/>
      <bottom/>
      <diagonal/>
    </border>
    <border>
      <left/>
      <right/>
      <top/>
      <bottom style="thick">
        <color theme="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top style="thin">
        <color indexed="64"/>
      </top>
      <bottom/>
      <diagonal/>
    </border>
    <border>
      <left style="medium">
        <color indexed="64"/>
      </left>
      <right/>
      <top/>
      <bottom/>
      <diagonal/>
    </border>
    <border>
      <left style="thin">
        <color indexed="8"/>
      </left>
      <right style="thin">
        <color indexed="8"/>
      </right>
      <top style="thin">
        <color indexed="8"/>
      </top>
      <bottom style="thin">
        <color indexed="8"/>
      </bottom>
      <diagonal/>
    </border>
    <border>
      <left/>
      <right style="medium">
        <color indexed="64"/>
      </right>
      <top/>
      <bottom/>
      <diagonal/>
    </border>
    <border>
      <left style="thin">
        <color indexed="64"/>
      </left>
      <right style="thin">
        <color indexed="64"/>
      </right>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hair">
        <color indexed="64"/>
      </top>
      <bottom/>
      <diagonal/>
    </border>
    <border>
      <left/>
      <right/>
      <top style="medium">
        <color indexed="64"/>
      </top>
      <bottom/>
      <diagonal/>
    </border>
    <border>
      <left style="thin">
        <color indexed="8"/>
      </left>
      <right style="thin">
        <color indexed="8"/>
      </right>
      <top style="double">
        <color indexed="8"/>
      </top>
      <bottom style="thin">
        <color indexed="8"/>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789">
    <xf numFmtId="0" fontId="0" fillId="0" borderId="0"/>
    <xf numFmtId="0" fontId="4" fillId="0" borderId="0"/>
    <xf numFmtId="0" fontId="6" fillId="0" borderId="1" applyNumberFormat="0" applyFill="0" applyAlignment="0" applyProtection="0"/>
    <xf numFmtId="0" fontId="7" fillId="0" borderId="0"/>
    <xf numFmtId="0" fontId="1" fillId="0" borderId="0"/>
    <xf numFmtId="0" fontId="7" fillId="0" borderId="0"/>
    <xf numFmtId="0" fontId="23" fillId="0" borderId="0"/>
    <xf numFmtId="0" fontId="51" fillId="0" borderId="0"/>
    <xf numFmtId="178" fontId="23" fillId="0" borderId="0" applyFont="0" applyFill="0" applyBorder="0" applyAlignment="0" applyProtection="0"/>
    <xf numFmtId="179" fontId="23" fillId="0" borderId="0" applyFont="0" applyFill="0" applyBorder="0" applyAlignment="0" applyProtection="0"/>
    <xf numFmtId="40" fontId="52" fillId="0" borderId="0" applyFont="0" applyFill="0" applyBorder="0" applyAlignment="0" applyProtection="0"/>
    <xf numFmtId="38" fontId="52" fillId="0" borderId="0" applyFont="0" applyFill="0" applyBorder="0" applyAlignment="0" applyProtection="0"/>
    <xf numFmtId="0" fontId="53" fillId="0" borderId="0"/>
    <xf numFmtId="0" fontId="54" fillId="0" borderId="0"/>
    <xf numFmtId="0" fontId="55" fillId="0" borderId="0"/>
    <xf numFmtId="0" fontId="34" fillId="0" borderId="0"/>
    <xf numFmtId="0" fontId="34" fillId="0" borderId="0"/>
    <xf numFmtId="0" fontId="55" fillId="0" borderId="0"/>
    <xf numFmtId="0" fontId="55" fillId="0" borderId="0"/>
    <xf numFmtId="0" fontId="54" fillId="0" borderId="0"/>
    <xf numFmtId="0" fontId="34" fillId="0" borderId="0"/>
    <xf numFmtId="0" fontId="34" fillId="0" borderId="0"/>
    <xf numFmtId="0" fontId="34" fillId="0" borderId="0"/>
    <xf numFmtId="0" fontId="54" fillId="0" borderId="0"/>
    <xf numFmtId="0" fontId="34" fillId="0" borderId="0"/>
    <xf numFmtId="0" fontId="55" fillId="0" borderId="0"/>
    <xf numFmtId="0" fontId="34" fillId="0" borderId="0"/>
    <xf numFmtId="0" fontId="56" fillId="0" borderId="0"/>
    <xf numFmtId="0" fontId="34" fillId="0" borderId="0"/>
    <xf numFmtId="0" fontId="29" fillId="0" borderId="0"/>
    <xf numFmtId="0" fontId="34" fillId="0" borderId="0"/>
    <xf numFmtId="0" fontId="34" fillId="0" borderId="0"/>
    <xf numFmtId="0" fontId="29"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23" fillId="0" borderId="0"/>
    <xf numFmtId="0" fontId="55" fillId="0" borderId="0"/>
    <xf numFmtId="0" fontId="55" fillId="0" borderId="0"/>
    <xf numFmtId="0" fontId="34" fillId="0" borderId="0"/>
    <xf numFmtId="0" fontId="34" fillId="0" borderId="0"/>
    <xf numFmtId="0" fontId="34" fillId="0" borderId="0"/>
    <xf numFmtId="0" fontId="34" fillId="0" borderId="0"/>
    <xf numFmtId="0" fontId="34" fillId="0" borderId="0"/>
    <xf numFmtId="0" fontId="34" fillId="0" borderId="0"/>
    <xf numFmtId="0" fontId="34" fillId="0" borderId="0"/>
    <xf numFmtId="0" fontId="55" fillId="0" borderId="0"/>
    <xf numFmtId="0" fontId="55" fillId="0" borderId="0"/>
    <xf numFmtId="0" fontId="34" fillId="0" borderId="0"/>
    <xf numFmtId="0" fontId="34" fillId="0" borderId="0"/>
    <xf numFmtId="0" fontId="34" fillId="0" borderId="0"/>
    <xf numFmtId="0" fontId="55" fillId="0" borderId="0"/>
    <xf numFmtId="0" fontId="34" fillId="0" borderId="0"/>
    <xf numFmtId="0" fontId="23" fillId="0" borderId="0"/>
    <xf numFmtId="0" fontId="23" fillId="0" borderId="0"/>
    <xf numFmtId="180" fontId="57" fillId="0" borderId="0" applyFont="0" applyBorder="0" applyAlignment="0">
      <alignment horizontal="left" vertical="center"/>
    </xf>
    <xf numFmtId="9" fontId="58" fillId="0" borderId="0"/>
    <xf numFmtId="0" fontId="59" fillId="0" borderId="0" applyNumberFormat="0" applyFont="0" applyBorder="0" applyAlignment="0"/>
    <xf numFmtId="0" fontId="29" fillId="0" borderId="0" applyNumberFormat="0" applyAlignment="0"/>
    <xf numFmtId="181" fontId="58" fillId="0" borderId="0" applyFont="0" applyFill="0" applyBorder="0" applyAlignment="0" applyProtection="0"/>
    <xf numFmtId="0" fontId="60" fillId="0" borderId="0" applyFont="0" applyFill="0" applyBorder="0" applyAlignment="0" applyProtection="0"/>
    <xf numFmtId="0" fontId="58" fillId="0" borderId="0" applyFont="0" applyFill="0" applyBorder="0" applyAlignment="0" applyProtection="0"/>
    <xf numFmtId="0" fontId="60" fillId="0" borderId="0" applyFont="0" applyFill="0" applyBorder="0" applyAlignment="0" applyProtection="0"/>
    <xf numFmtId="0" fontId="61" fillId="0" borderId="0"/>
    <xf numFmtId="0" fontId="61" fillId="0" borderId="0"/>
    <xf numFmtId="0" fontId="23" fillId="0" borderId="0" applyFill="0" applyBorder="0">
      <alignment vertical="center"/>
    </xf>
    <xf numFmtId="182" fontId="62" fillId="0" borderId="0" applyFont="0" applyFill="0" applyBorder="0" applyAlignment="0" applyProtection="0"/>
    <xf numFmtId="0" fontId="60" fillId="0" borderId="0" applyFont="0" applyFill="0" applyBorder="0" applyAlignment="0" applyProtection="0"/>
    <xf numFmtId="0" fontId="58" fillId="0" borderId="0" applyFont="0" applyFill="0" applyBorder="0" applyAlignment="0" applyProtection="0"/>
    <xf numFmtId="0" fontId="60" fillId="0" borderId="0" applyFont="0" applyFill="0" applyBorder="0" applyAlignment="0" applyProtection="0"/>
    <xf numFmtId="182" fontId="62" fillId="0" borderId="3">
      <protection locked="0"/>
    </xf>
    <xf numFmtId="3" fontId="63" fillId="0" borderId="0"/>
    <xf numFmtId="0" fontId="40" fillId="0" borderId="0" applyNumberFormat="0" applyFill="0" applyBorder="0" applyAlignment="0" applyProtection="0"/>
    <xf numFmtId="5" fontId="64" fillId="0" borderId="4" applyAlignment="0" applyProtection="0"/>
    <xf numFmtId="0" fontId="60" fillId="0" borderId="0"/>
    <xf numFmtId="0" fontId="65" fillId="0" borderId="0"/>
    <xf numFmtId="0" fontId="60" fillId="0" borderId="0"/>
    <xf numFmtId="0" fontId="66" fillId="0" borderId="0"/>
    <xf numFmtId="173" fontId="33" fillId="0" borderId="0" applyFill="0" applyBorder="0" applyAlignment="0"/>
    <xf numFmtId="0" fontId="67" fillId="0" borderId="0"/>
    <xf numFmtId="0" fontId="68" fillId="0" borderId="0">
      <alignment vertical="center"/>
    </xf>
    <xf numFmtId="43" fontId="23" fillId="0" borderId="0" applyFont="0" applyFill="0" applyBorder="0" applyAlignment="0" applyProtection="0"/>
    <xf numFmtId="0" fontId="62" fillId="0" borderId="0"/>
    <xf numFmtId="0" fontId="62" fillId="0" borderId="0"/>
    <xf numFmtId="0" fontId="61" fillId="0" borderId="0"/>
    <xf numFmtId="0" fontId="61" fillId="0" borderId="0"/>
    <xf numFmtId="0" fontId="61" fillId="0" borderId="0"/>
    <xf numFmtId="0" fontId="61" fillId="0" borderId="0"/>
    <xf numFmtId="0" fontId="61" fillId="0" borderId="0"/>
    <xf numFmtId="0" fontId="61" fillId="0" borderId="0"/>
    <xf numFmtId="165" fontId="39" fillId="0" borderId="0" applyFont="0" applyFill="0" applyBorder="0" applyAlignment="0" applyProtection="0"/>
    <xf numFmtId="165" fontId="39" fillId="0" borderId="0" applyFont="0" applyFill="0" applyBorder="0" applyAlignment="0" applyProtection="0"/>
    <xf numFmtId="43" fontId="33" fillId="0" borderId="0" applyFont="0" applyFill="0" applyBorder="0" applyAlignment="0" applyProtection="0">
      <alignment vertical="top"/>
    </xf>
    <xf numFmtId="171" fontId="34" fillId="0" borderId="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165" fontId="39" fillId="0" borderId="0" applyFont="0" applyFill="0" applyBorder="0" applyAlignment="0" applyProtection="0"/>
    <xf numFmtId="43" fontId="23" fillId="0" borderId="0" applyFont="0" applyFill="0" applyBorder="0" applyAlignment="0" applyProtection="0"/>
    <xf numFmtId="165" fontId="39" fillId="0" borderId="0" applyFont="0" applyFill="0" applyBorder="0" applyAlignment="0" applyProtection="0"/>
    <xf numFmtId="165" fontId="39"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175" fontId="23" fillId="0" borderId="0" applyFont="0" applyFill="0" applyBorder="0" applyAlignment="0" applyProtection="0"/>
    <xf numFmtId="170" fontId="39" fillId="0" borderId="0" applyFont="0" applyFill="0" applyBorder="0" applyAlignment="0" applyProtection="0"/>
    <xf numFmtId="43" fontId="4" fillId="0" borderId="0" applyFont="0" applyFill="0" applyBorder="0" applyAlignment="0" applyProtection="0"/>
    <xf numFmtId="43" fontId="4"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51" fillId="0" borderId="0" applyFont="0" applyFill="0" applyBorder="0" applyAlignment="0" applyProtection="0"/>
    <xf numFmtId="43" fontId="23" fillId="0" borderId="0" applyFont="0" applyFill="0" applyBorder="0" applyAlignment="0" applyProtection="0"/>
    <xf numFmtId="43" fontId="38" fillId="0" borderId="0" applyFont="0" applyFill="0" applyBorder="0" applyAlignment="0" applyProtection="0"/>
    <xf numFmtId="167" fontId="28" fillId="0" borderId="0" applyFont="0" applyFill="0" applyBorder="0" applyAlignment="0" applyProtection="0"/>
    <xf numFmtId="167" fontId="39" fillId="0" borderId="0" applyFont="0" applyFill="0" applyBorder="0" applyAlignment="0" applyProtection="0"/>
    <xf numFmtId="173" fontId="39" fillId="0" borderId="0" applyFont="0" applyFill="0" applyBorder="0" applyAlignment="0" applyProtection="0"/>
    <xf numFmtId="43" fontId="28" fillId="0" borderId="0" applyFont="0" applyFill="0" applyBorder="0" applyAlignment="0" applyProtection="0"/>
    <xf numFmtId="173" fontId="39"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165" fontId="23" fillId="0" borderId="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171" fontId="34" fillId="0" borderId="0" applyFill="0" applyBorder="0" applyAlignment="0" applyProtection="0"/>
    <xf numFmtId="0" fontId="39"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165" fontId="23" fillId="0" borderId="0" applyFill="0" applyBorder="0" applyAlignment="0" applyProtection="0"/>
    <xf numFmtId="43" fontId="23" fillId="0" borderId="0" applyFont="0" applyFill="0" applyBorder="0" applyAlignment="0" applyProtection="0"/>
    <xf numFmtId="165" fontId="23" fillId="0" borderId="0" applyFill="0" applyBorder="0" applyAlignment="0" applyProtection="0"/>
    <xf numFmtId="167" fontId="4" fillId="0" borderId="0" applyFont="0" applyFill="0" applyBorder="0" applyAlignment="0" applyProtection="0"/>
    <xf numFmtId="43" fontId="28" fillId="0" borderId="0" applyFont="0" applyFill="0" applyBorder="0" applyAlignment="0" applyProtection="0"/>
    <xf numFmtId="165" fontId="23" fillId="0" borderId="0" applyFill="0" applyBorder="0" applyAlignment="0" applyProtection="0"/>
    <xf numFmtId="176" fontId="39" fillId="0" borderId="0" applyFont="0" applyFill="0" applyBorder="0" applyAlignment="0" applyProtection="0"/>
    <xf numFmtId="43" fontId="28" fillId="0" borderId="0" applyFont="0" applyFill="0" applyBorder="0" applyAlignment="0" applyProtection="0"/>
    <xf numFmtId="43" fontId="23" fillId="0" borderId="0" applyFont="0" applyFill="0" applyBorder="0" applyAlignment="0" applyProtection="0"/>
    <xf numFmtId="169" fontId="39" fillId="0" borderId="0" applyFont="0" applyFill="0" applyBorder="0" applyAlignment="0" applyProtection="0"/>
    <xf numFmtId="171" fontId="34" fillId="0" borderId="0" applyFill="0" applyBorder="0" applyAlignment="0" applyProtection="0"/>
    <xf numFmtId="171" fontId="34" fillId="0" borderId="0" applyFill="0" applyBorder="0" applyAlignment="0" applyProtection="0"/>
    <xf numFmtId="171" fontId="34" fillId="0" borderId="0" applyFill="0" applyBorder="0" applyAlignment="0" applyProtection="0"/>
    <xf numFmtId="171" fontId="34" fillId="0" borderId="0" applyFill="0" applyBorder="0" applyAlignment="0" applyProtection="0"/>
    <xf numFmtId="171" fontId="34" fillId="0" borderId="0" applyFill="0" applyBorder="0" applyAlignment="0" applyProtection="0"/>
    <xf numFmtId="3" fontId="23" fillId="0" borderId="0" applyFont="0" applyFill="0" applyBorder="0" applyAlignment="0" applyProtection="0"/>
    <xf numFmtId="0" fontId="41" fillId="0" borderId="0" applyNumberFormat="0" applyAlignment="0">
      <alignment horizontal="left"/>
    </xf>
    <xf numFmtId="182" fontId="69" fillId="0" borderId="5" applyNumberFormat="0" applyBorder="0" applyAlignment="0" applyProtection="0">
      <protection locked="0"/>
    </xf>
    <xf numFmtId="183" fontId="70" fillId="2" borderId="0" applyFill="0">
      <alignment horizontal="left" vertical="top"/>
      <protection locked="0"/>
    </xf>
    <xf numFmtId="184" fontId="23" fillId="0" borderId="0">
      <alignment horizontal="center"/>
    </xf>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44" fontId="28" fillId="0" borderId="0" applyFont="0" applyFill="0" applyBorder="0" applyAlignment="0" applyProtection="0"/>
    <xf numFmtId="185" fontId="23" fillId="0" borderId="0" applyFont="0" applyFill="0" applyBorder="0" applyAlignment="0" applyProtection="0"/>
    <xf numFmtId="0" fontId="42" fillId="0" borderId="0"/>
    <xf numFmtId="0" fontId="42" fillId="0" borderId="6"/>
    <xf numFmtId="186" fontId="23" fillId="0" borderId="0">
      <protection locked="0"/>
    </xf>
    <xf numFmtId="174" fontId="35" fillId="0" borderId="0" applyFont="0" applyFill="0" applyBorder="0">
      <alignment horizontal="left" vertical="top" wrapText="1"/>
      <protection locked="0"/>
    </xf>
    <xf numFmtId="166" fontId="23" fillId="0" borderId="0" applyFont="0" applyFill="0" applyBorder="0" applyAlignment="0" applyProtection="0"/>
    <xf numFmtId="167" fontId="23" fillId="0" borderId="0" applyFont="0" applyFill="0" applyBorder="0" applyAlignment="0" applyProtection="0"/>
    <xf numFmtId="0" fontId="43" fillId="0" borderId="0" applyNumberFormat="0" applyAlignment="0">
      <alignment horizontal="left"/>
    </xf>
    <xf numFmtId="187" fontId="23" fillId="0" borderId="0" applyFont="0" applyFill="0" applyBorder="0" applyAlignment="0" applyProtection="0"/>
    <xf numFmtId="0" fontId="23" fillId="0" borderId="0"/>
    <xf numFmtId="0" fontId="91" fillId="0" borderId="0"/>
    <xf numFmtId="186" fontId="23" fillId="0" borderId="0">
      <protection locked="0"/>
    </xf>
    <xf numFmtId="186" fontId="23" fillId="0" borderId="0">
      <protection locked="0"/>
    </xf>
    <xf numFmtId="186" fontId="23" fillId="0" borderId="0">
      <protection locked="0"/>
    </xf>
    <xf numFmtId="186" fontId="23" fillId="0" borderId="0">
      <protection locked="0"/>
    </xf>
    <xf numFmtId="186" fontId="23" fillId="0" borderId="0">
      <protection locked="0"/>
    </xf>
    <xf numFmtId="186" fontId="23" fillId="0" borderId="0">
      <protection locked="0"/>
    </xf>
    <xf numFmtId="186" fontId="23" fillId="0" borderId="0">
      <protection locked="0"/>
    </xf>
    <xf numFmtId="186" fontId="23" fillId="0" borderId="0">
      <protection locked="0"/>
    </xf>
    <xf numFmtId="188" fontId="35" fillId="0" borderId="0" applyFont="0">
      <alignment horizontal="left"/>
      <protection locked="0"/>
    </xf>
    <xf numFmtId="0" fontId="62" fillId="0" borderId="7" applyNumberFormat="0" applyFill="0" applyBorder="0" applyAlignment="0" applyProtection="0">
      <protection locked="0"/>
    </xf>
    <xf numFmtId="178" fontId="32" fillId="0" borderId="8">
      <alignment horizontal="right"/>
    </xf>
    <xf numFmtId="38" fontId="29" fillId="3" borderId="0" applyNumberFormat="0" applyBorder="0" applyAlignment="0" applyProtection="0"/>
    <xf numFmtId="38" fontId="29" fillId="3" borderId="0" applyNumberFormat="0" applyBorder="0" applyAlignment="0" applyProtection="0"/>
    <xf numFmtId="183" fontId="71" fillId="0" borderId="0">
      <alignment horizontal="left"/>
    </xf>
    <xf numFmtId="0" fontId="44" fillId="0" borderId="9" applyNumberFormat="0" applyAlignment="0" applyProtection="0">
      <alignment horizontal="left" vertical="center"/>
    </xf>
    <xf numFmtId="0" fontId="44" fillId="0" borderId="10">
      <alignment horizontal="left" vertical="center"/>
    </xf>
    <xf numFmtId="186" fontId="23" fillId="0" borderId="0">
      <protection locked="0"/>
    </xf>
    <xf numFmtId="189" fontId="72" fillId="0" borderId="0">
      <protection locked="0"/>
    </xf>
    <xf numFmtId="186" fontId="23" fillId="0" borderId="0">
      <protection locked="0"/>
    </xf>
    <xf numFmtId="186" fontId="23" fillId="0" borderId="0">
      <protection locked="0"/>
    </xf>
    <xf numFmtId="0" fontId="30" fillId="0" borderId="0" applyNumberFormat="0" applyFill="0" applyBorder="0" applyAlignment="0" applyProtection="0">
      <alignment vertical="top"/>
      <protection locked="0"/>
    </xf>
    <xf numFmtId="0" fontId="73" fillId="0" borderId="0" applyNumberFormat="0" applyFill="0" applyBorder="0" applyAlignment="0" applyProtection="0">
      <alignment vertical="top"/>
      <protection locked="0"/>
    </xf>
    <xf numFmtId="186" fontId="23" fillId="0" borderId="0" applyProtection="0">
      <alignment horizontal="center"/>
    </xf>
    <xf numFmtId="10" fontId="29" fillId="4" borderId="2" applyNumberFormat="0" applyBorder="0" applyAlignment="0" applyProtection="0"/>
    <xf numFmtId="10" fontId="29" fillId="4" borderId="2" applyNumberFormat="0" applyBorder="0" applyAlignment="0" applyProtection="0"/>
    <xf numFmtId="183" fontId="35" fillId="0" borderId="0" applyFont="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35" fillId="0" borderId="0" applyFont="0" applyFill="0" applyBorder="0">
      <alignment horizontal="left"/>
    </xf>
    <xf numFmtId="183" fontId="35" fillId="0" borderId="0" applyFont="0" applyFill="0" applyBorder="0">
      <alignment horizontal="left"/>
    </xf>
    <xf numFmtId="183" fontId="35" fillId="0" borderId="0" applyFont="0" applyFill="0" applyBorder="0">
      <alignment horizontal="left"/>
    </xf>
    <xf numFmtId="183" fontId="35" fillId="0" borderId="0" applyFont="0" applyFill="0" applyBorder="0">
      <alignment horizontal="left"/>
    </xf>
    <xf numFmtId="183" fontId="35" fillId="0" borderId="0" applyFont="0" applyFill="0" applyBorder="0">
      <alignment horizontal="left"/>
    </xf>
    <xf numFmtId="183" fontId="23" fillId="0" borderId="0" applyFont="0" applyFill="0">
      <alignment horizontal="left"/>
    </xf>
    <xf numFmtId="183" fontId="23" fillId="0" borderId="0" applyFont="0" applyFill="0">
      <alignment horizontal="left"/>
    </xf>
    <xf numFmtId="183" fontId="23" fillId="0" borderId="0" applyFont="0" applyFill="0">
      <alignment horizontal="left"/>
    </xf>
    <xf numFmtId="183" fontId="23" fillId="0" borderId="0" applyFont="0" applyFill="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0" fontId="45" fillId="5" borderId="6"/>
    <xf numFmtId="40" fontId="29" fillId="0" borderId="0" applyFont="0">
      <protection locked="0"/>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35" fillId="0" borderId="0" applyFont="0" applyFill="0" applyBorder="0">
      <alignment horizontal="left"/>
    </xf>
    <xf numFmtId="183" fontId="35" fillId="0" borderId="0" applyFont="0" applyFill="0" applyBorder="0">
      <alignment horizontal="left"/>
    </xf>
    <xf numFmtId="183" fontId="35" fillId="0" borderId="0" applyFont="0" applyFill="0" applyBorder="0">
      <alignment horizontal="left"/>
    </xf>
    <xf numFmtId="183" fontId="35" fillId="0" borderId="0" applyFont="0" applyFill="0" applyBorder="0">
      <alignment horizontal="left"/>
    </xf>
    <xf numFmtId="183" fontId="35" fillId="0" borderId="0" applyFont="0" applyFill="0" applyBorder="0">
      <alignment horizontal="left"/>
    </xf>
    <xf numFmtId="183" fontId="23" fillId="0" borderId="0" applyFont="0" applyFill="0">
      <alignment horizontal="left"/>
    </xf>
    <xf numFmtId="183" fontId="23" fillId="0" borderId="0" applyFont="0" applyFill="0">
      <alignment horizontal="left"/>
    </xf>
    <xf numFmtId="183" fontId="23" fillId="0" borderId="0" applyFont="0" applyFill="0">
      <alignment horizontal="left"/>
    </xf>
    <xf numFmtId="183" fontId="23" fillId="0" borderId="0" applyFont="0" applyFill="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35" fillId="0" borderId="0" applyFont="0" applyFill="0" applyBorder="0">
      <alignment horizontal="left"/>
    </xf>
    <xf numFmtId="183" fontId="23" fillId="0" borderId="0" applyFont="0" applyFill="0">
      <alignment horizontal="left"/>
    </xf>
    <xf numFmtId="183" fontId="35" fillId="0" borderId="0" applyFont="0" applyFill="0" applyBorder="0">
      <alignment horizontal="left"/>
    </xf>
    <xf numFmtId="183" fontId="35" fillId="0" borderId="0" applyFont="0" applyFill="0" applyBorder="0">
      <alignment horizontal="left"/>
    </xf>
    <xf numFmtId="174" fontId="50" fillId="0" borderId="0">
      <alignment horizontal="left" vertical="top"/>
      <protection locked="0"/>
    </xf>
    <xf numFmtId="174" fontId="29" fillId="0" borderId="0" applyFont="0"/>
    <xf numFmtId="168" fontId="23" fillId="0" borderId="0" applyFont="0" applyFill="0" applyBorder="0" applyAlignment="0" applyProtection="0"/>
    <xf numFmtId="169" fontId="23" fillId="0" borderId="0" applyFont="0" applyFill="0" applyBorder="0" applyAlignment="0" applyProtection="0"/>
    <xf numFmtId="190" fontId="23" fillId="0" borderId="0" applyFont="0" applyFill="0" applyBorder="0" applyAlignment="0" applyProtection="0"/>
    <xf numFmtId="191" fontId="23" fillId="0" borderId="0" applyFont="0" applyFill="0" applyBorder="0" applyAlignment="0" applyProtection="0"/>
    <xf numFmtId="183" fontId="35" fillId="0" borderId="0" applyFont="0" applyFill="0" applyBorder="0">
      <alignment horizontal="left"/>
    </xf>
    <xf numFmtId="0" fontId="74" fillId="0" borderId="11"/>
    <xf numFmtId="192" fontId="23" fillId="0" borderId="0" applyFont="0" applyFill="0" applyBorder="0" applyAlignment="0" applyProtection="0"/>
    <xf numFmtId="193" fontId="23" fillId="0" borderId="0" applyFont="0" applyFill="0" applyBorder="0" applyAlignment="0" applyProtection="0"/>
    <xf numFmtId="183" fontId="35" fillId="0" borderId="0" applyFont="0">
      <alignment horizontal="left"/>
    </xf>
    <xf numFmtId="37" fontId="75" fillId="0" borderId="0"/>
    <xf numFmtId="0" fontId="76" fillId="0" borderId="0"/>
    <xf numFmtId="175" fontId="46" fillId="0" borderId="0"/>
    <xf numFmtId="172" fontId="28" fillId="0" borderId="0"/>
    <xf numFmtId="172" fontId="28" fillId="0" borderId="0"/>
    <xf numFmtId="0" fontId="4" fillId="0" borderId="0"/>
    <xf numFmtId="172" fontId="28" fillId="0" borderId="0"/>
    <xf numFmtId="172" fontId="28" fillId="0" borderId="0"/>
    <xf numFmtId="172" fontId="28" fillId="0" borderId="0"/>
    <xf numFmtId="172" fontId="28" fillId="0" borderId="0"/>
    <xf numFmtId="172" fontId="28" fillId="0" borderId="0"/>
    <xf numFmtId="172" fontId="28" fillId="0" borderId="0"/>
    <xf numFmtId="172" fontId="28" fillId="0" borderId="0"/>
    <xf numFmtId="172" fontId="28"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23" fillId="0" borderId="0"/>
    <xf numFmtId="0" fontId="35" fillId="0" borderId="0"/>
    <xf numFmtId="0" fontId="23" fillId="0" borderId="0"/>
    <xf numFmtId="0" fontId="36" fillId="0" borderId="0"/>
    <xf numFmtId="0" fontId="23" fillId="0" borderId="0"/>
    <xf numFmtId="0" fontId="28" fillId="0" borderId="0"/>
    <xf numFmtId="0" fontId="23" fillId="0" borderId="0"/>
    <xf numFmtId="0" fontId="23" fillId="0" borderId="0"/>
    <xf numFmtId="0" fontId="38" fillId="0" borderId="0"/>
    <xf numFmtId="0" fontId="38" fillId="0" borderId="0"/>
    <xf numFmtId="0" fontId="23" fillId="0" borderId="0"/>
    <xf numFmtId="0" fontId="38" fillId="0" borderId="0"/>
    <xf numFmtId="0" fontId="28" fillId="0" borderId="0"/>
    <xf numFmtId="0" fontId="92" fillId="0" borderId="0"/>
    <xf numFmtId="0" fontId="23" fillId="0" borderId="0"/>
    <xf numFmtId="0" fontId="23" fillId="0" borderId="0"/>
    <xf numFmtId="172" fontId="23" fillId="0" borderId="0"/>
    <xf numFmtId="172" fontId="23" fillId="0" borderId="0"/>
    <xf numFmtId="172" fontId="28" fillId="0" borderId="0"/>
    <xf numFmtId="0" fontId="28" fillId="0" borderId="0"/>
    <xf numFmtId="0" fontId="28" fillId="0" borderId="0"/>
    <xf numFmtId="0" fontId="28" fillId="0" borderId="0"/>
    <xf numFmtId="0" fontId="28" fillId="0" borderId="0"/>
    <xf numFmtId="172" fontId="28" fillId="0" borderId="0"/>
    <xf numFmtId="0" fontId="28" fillId="0" borderId="0"/>
    <xf numFmtId="0" fontId="28" fillId="0" borderId="0"/>
    <xf numFmtId="0" fontId="28" fillId="0" borderId="0"/>
    <xf numFmtId="0" fontId="28" fillId="0" borderId="0"/>
    <xf numFmtId="0" fontId="28" fillId="0" borderId="0"/>
    <xf numFmtId="172" fontId="28" fillId="0" borderId="0"/>
    <xf numFmtId="172" fontId="28" fillId="0" borderId="0"/>
    <xf numFmtId="172" fontId="28" fillId="0" borderId="0"/>
    <xf numFmtId="172"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172" fontId="28" fillId="0" borderId="0"/>
    <xf numFmtId="172" fontId="23" fillId="0" borderId="0"/>
    <xf numFmtId="172" fontId="28" fillId="0" borderId="0"/>
    <xf numFmtId="172" fontId="28" fillId="0" borderId="0"/>
    <xf numFmtId="172" fontId="28" fillId="0" borderId="0"/>
    <xf numFmtId="172" fontId="28" fillId="0" borderId="0"/>
    <xf numFmtId="172" fontId="28" fillId="0" borderId="0"/>
    <xf numFmtId="172" fontId="23" fillId="0" borderId="0"/>
    <xf numFmtId="172" fontId="23" fillId="0" borderId="0"/>
    <xf numFmtId="172" fontId="23" fillId="0" borderId="0"/>
    <xf numFmtId="172" fontId="23" fillId="0" borderId="0"/>
    <xf numFmtId="172" fontId="28" fillId="0" borderId="0"/>
    <xf numFmtId="172" fontId="28" fillId="0" borderId="0"/>
    <xf numFmtId="172" fontId="28" fillId="0" borderId="0"/>
    <xf numFmtId="172" fontId="28" fillId="0" borderId="0"/>
    <xf numFmtId="0" fontId="23" fillId="0" borderId="0"/>
    <xf numFmtId="172" fontId="23" fillId="0" borderId="0"/>
    <xf numFmtId="0" fontId="28" fillId="0" borderId="0"/>
    <xf numFmtId="172" fontId="23" fillId="0" borderId="0"/>
    <xf numFmtId="172" fontId="23" fillId="0" borderId="0"/>
    <xf numFmtId="172" fontId="23" fillId="0" borderId="0"/>
    <xf numFmtId="172" fontId="23" fillId="0" borderId="0"/>
    <xf numFmtId="172" fontId="23" fillId="0" borderId="0"/>
    <xf numFmtId="0" fontId="28" fillId="0" borderId="0"/>
    <xf numFmtId="0" fontId="28" fillId="0" borderId="0"/>
    <xf numFmtId="0" fontId="28" fillId="0" borderId="0"/>
    <xf numFmtId="0" fontId="28"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0" fontId="28" fillId="0" borderId="0"/>
    <xf numFmtId="0" fontId="28" fillId="0" borderId="0"/>
    <xf numFmtId="0" fontId="28" fillId="0" borderId="0"/>
    <xf numFmtId="0" fontId="28" fillId="0" borderId="0"/>
    <xf numFmtId="0" fontId="28" fillId="0" borderId="0"/>
    <xf numFmtId="172" fontId="23" fillId="0" borderId="0"/>
    <xf numFmtId="0" fontId="28" fillId="0" borderId="0"/>
    <xf numFmtId="172" fontId="23" fillId="0" borderId="0"/>
    <xf numFmtId="0" fontId="28" fillId="0" borderId="0"/>
    <xf numFmtId="0" fontId="28" fillId="0" borderId="0"/>
    <xf numFmtId="0" fontId="28" fillId="0" borderId="0"/>
    <xf numFmtId="0" fontId="28" fillId="0" borderId="0"/>
    <xf numFmtId="0" fontId="28" fillId="0" borderId="0"/>
    <xf numFmtId="172" fontId="23" fillId="0" borderId="0"/>
    <xf numFmtId="172" fontId="23" fillId="0" borderId="0"/>
    <xf numFmtId="172" fontId="23" fillId="0" borderId="0"/>
    <xf numFmtId="172" fontId="23"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172" fontId="23" fillId="0" borderId="0"/>
    <xf numFmtId="0" fontId="28" fillId="0" borderId="0"/>
    <xf numFmtId="0" fontId="28" fillId="0" borderId="0"/>
    <xf numFmtId="0" fontId="28" fillId="0" borderId="0"/>
    <xf numFmtId="0" fontId="28" fillId="0" borderId="0"/>
    <xf numFmtId="0" fontId="28" fillId="0" borderId="0"/>
    <xf numFmtId="0" fontId="28" fillId="0" borderId="0"/>
    <xf numFmtId="0" fontId="28" fillId="0" borderId="0"/>
    <xf numFmtId="172" fontId="23" fillId="0" borderId="0"/>
    <xf numFmtId="172" fontId="28" fillId="0" borderId="0"/>
    <xf numFmtId="172" fontId="28" fillId="0" borderId="0"/>
    <xf numFmtId="172" fontId="28" fillId="0" borderId="0"/>
    <xf numFmtId="172" fontId="28" fillId="0" borderId="0"/>
    <xf numFmtId="172" fontId="28" fillId="0" borderId="0"/>
    <xf numFmtId="0" fontId="28" fillId="0" borderId="0"/>
    <xf numFmtId="0" fontId="28" fillId="0" borderId="0"/>
    <xf numFmtId="0" fontId="93" fillId="0" borderId="0"/>
    <xf numFmtId="0" fontId="28" fillId="0" borderId="0"/>
    <xf numFmtId="0" fontId="28" fillId="0" borderId="0"/>
    <xf numFmtId="172" fontId="28" fillId="0" borderId="0"/>
    <xf numFmtId="172" fontId="23" fillId="0" borderId="0"/>
    <xf numFmtId="172" fontId="23" fillId="0" borderId="0"/>
    <xf numFmtId="172" fontId="23" fillId="0" borderId="0"/>
    <xf numFmtId="172" fontId="23" fillId="0" borderId="0"/>
    <xf numFmtId="172" fontId="23" fillId="0" borderId="0"/>
    <xf numFmtId="172" fontId="28" fillId="0" borderId="0"/>
    <xf numFmtId="172" fontId="23" fillId="0" borderId="0"/>
    <xf numFmtId="172" fontId="23" fillId="0" borderId="0"/>
    <xf numFmtId="172" fontId="23" fillId="0" borderId="0"/>
    <xf numFmtId="172" fontId="23" fillId="0" borderId="0"/>
    <xf numFmtId="172" fontId="23" fillId="0" borderId="0"/>
    <xf numFmtId="172" fontId="28" fillId="0" borderId="0"/>
    <xf numFmtId="172" fontId="28" fillId="0" borderId="0"/>
    <xf numFmtId="172" fontId="28" fillId="0" borderId="0"/>
    <xf numFmtId="172" fontId="28"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172" fontId="23" fillId="0" borderId="0"/>
    <xf numFmtId="0" fontId="23" fillId="0" borderId="0"/>
    <xf numFmtId="0" fontId="36" fillId="0" borderId="0"/>
    <xf numFmtId="0" fontId="28" fillId="0" borderId="0"/>
    <xf numFmtId="0" fontId="38" fillId="0" borderId="0"/>
    <xf numFmtId="0" fontId="4" fillId="0" borderId="0"/>
    <xf numFmtId="0" fontId="23" fillId="0" borderId="0"/>
    <xf numFmtId="0" fontId="4" fillId="0" borderId="0"/>
    <xf numFmtId="0" fontId="4" fillId="0" borderId="0"/>
    <xf numFmtId="0" fontId="4" fillId="0" borderId="0"/>
    <xf numFmtId="0" fontId="23" fillId="0" borderId="0"/>
    <xf numFmtId="0" fontId="38" fillId="0" borderId="0"/>
    <xf numFmtId="0" fontId="23" fillId="0" borderId="0"/>
    <xf numFmtId="0" fontId="23" fillId="0" borderId="0"/>
    <xf numFmtId="0" fontId="23" fillId="0" borderId="0"/>
    <xf numFmtId="0" fontId="23" fillId="0" borderId="0"/>
    <xf numFmtId="0" fontId="23" fillId="0" borderId="0"/>
    <xf numFmtId="0" fontId="34" fillId="0" borderId="0"/>
    <xf numFmtId="0" fontId="38" fillId="0" borderId="0"/>
    <xf numFmtId="0" fontId="34" fillId="0" borderId="0"/>
    <xf numFmtId="0" fontId="34" fillId="0" borderId="0"/>
    <xf numFmtId="0" fontId="34" fillId="0" borderId="0"/>
    <xf numFmtId="0" fontId="34" fillId="0" borderId="0"/>
    <xf numFmtId="0" fontId="23" fillId="0" borderId="0"/>
    <xf numFmtId="0" fontId="23" fillId="0" borderId="0"/>
    <xf numFmtId="0" fontId="4" fillId="0" borderId="0"/>
    <xf numFmtId="172" fontId="28" fillId="0" borderId="0"/>
    <xf numFmtId="172" fontId="28" fillId="0" borderId="0"/>
    <xf numFmtId="172" fontId="28" fillId="0" borderId="0"/>
    <xf numFmtId="0" fontId="36" fillId="0" borderId="0"/>
    <xf numFmtId="188" fontId="29" fillId="0" borderId="0" applyFont="0">
      <protection locked="0"/>
    </xf>
    <xf numFmtId="9" fontId="23" fillId="0" borderId="0" applyFont="0" applyFill="0" applyBorder="0" applyAlignment="0" applyProtection="0"/>
    <xf numFmtId="10" fontId="23" fillId="0" borderId="0" applyFont="0" applyFill="0" applyBorder="0" applyAlignment="0" applyProtection="0"/>
    <xf numFmtId="10"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3" fillId="0" borderId="0" applyFont="0" applyFill="0" applyBorder="0" applyAlignment="0" applyProtection="0"/>
    <xf numFmtId="9" fontId="28" fillId="0" borderId="0" applyFont="0" applyFill="0" applyBorder="0" applyAlignment="0" applyProtection="0"/>
    <xf numFmtId="0" fontId="77" fillId="0" borderId="0" applyFont="0"/>
    <xf numFmtId="40" fontId="35" fillId="0" borderId="0" applyFont="0">
      <protection locked="0"/>
    </xf>
    <xf numFmtId="40" fontId="71" fillId="0" borderId="0" applyFont="0">
      <protection locked="0"/>
    </xf>
    <xf numFmtId="3" fontId="78" fillId="0" borderId="0"/>
    <xf numFmtId="0" fontId="42" fillId="0" borderId="0"/>
    <xf numFmtId="176" fontId="47" fillId="0" borderId="0" applyNumberFormat="0" applyFill="0" applyBorder="0" applyAlignment="0" applyProtection="0">
      <alignment horizontal="left"/>
    </xf>
    <xf numFmtId="174" fontId="79" fillId="0" borderId="0" applyFont="0">
      <alignment horizontal="left"/>
    </xf>
    <xf numFmtId="0" fontId="80" fillId="0" borderId="0" applyNumberFormat="0" applyFill="0" applyBorder="0" applyAlignment="0" applyProtection="0">
      <alignment vertical="top"/>
      <protection locked="0"/>
    </xf>
    <xf numFmtId="0" fontId="81" fillId="0" borderId="0"/>
    <xf numFmtId="0" fontId="82" fillId="0" borderId="0"/>
    <xf numFmtId="0" fontId="34" fillId="0" borderId="0"/>
    <xf numFmtId="0" fontId="37" fillId="0" borderId="0"/>
    <xf numFmtId="174" fontId="55" fillId="0" borderId="0">
      <alignment horizontal="right" vertical="top"/>
      <protection locked="0"/>
    </xf>
    <xf numFmtId="0" fontId="74" fillId="0" borderId="0"/>
    <xf numFmtId="0" fontId="83" fillId="0" borderId="0" applyNumberFormat="0" applyProtection="0">
      <alignment wrapText="1"/>
      <protection locked="0"/>
    </xf>
    <xf numFmtId="40" fontId="48" fillId="0" borderId="0" applyBorder="0">
      <alignment horizontal="right"/>
    </xf>
    <xf numFmtId="174" fontId="84" fillId="0" borderId="12">
      <alignment vertical="center"/>
    </xf>
    <xf numFmtId="174" fontId="35" fillId="0" borderId="0" applyFont="0">
      <protection locked="0"/>
    </xf>
    <xf numFmtId="174" fontId="35" fillId="0" borderId="0" applyFill="0" applyProtection="0">
      <protection locked="0"/>
    </xf>
    <xf numFmtId="183" fontId="55" fillId="6" borderId="0" applyNumberFormat="0" applyAlignment="0">
      <alignment horizontal="left" vertical="top"/>
    </xf>
    <xf numFmtId="0" fontId="42" fillId="0" borderId="6"/>
    <xf numFmtId="40" fontId="59" fillId="0" borderId="0"/>
    <xf numFmtId="0" fontId="49" fillId="7" borderId="0"/>
    <xf numFmtId="183" fontId="85" fillId="0" borderId="13" applyNumberFormat="0" applyFill="0" applyProtection="0">
      <alignment horizontal="center"/>
    </xf>
    <xf numFmtId="174" fontId="71" fillId="0" borderId="0"/>
    <xf numFmtId="0" fontId="45" fillId="0" borderId="14"/>
    <xf numFmtId="0" fontId="45" fillId="0" borderId="6"/>
    <xf numFmtId="43" fontId="23" fillId="0" borderId="15" applyFill="0">
      <alignment horizontal="right" vertical="center"/>
    </xf>
    <xf numFmtId="168" fontId="23" fillId="0" borderId="0" applyFont="0" applyFill="0" applyBorder="0" applyAlignment="0" applyProtection="0"/>
    <xf numFmtId="169" fontId="23" fillId="0" borderId="0" applyFont="0" applyFill="0" applyBorder="0" applyAlignment="0" applyProtection="0"/>
    <xf numFmtId="194" fontId="35" fillId="0" borderId="0" applyFill="0">
      <alignment horizontal="center"/>
    </xf>
    <xf numFmtId="174" fontId="35" fillId="0" borderId="0" applyFont="0">
      <alignment horizontal="center"/>
      <protection locked="0"/>
    </xf>
    <xf numFmtId="175" fontId="50" fillId="0" borderId="2">
      <alignment horizontal="center" vertical="center"/>
    </xf>
    <xf numFmtId="175" fontId="50" fillId="0" borderId="6">
      <alignment horizontal="center" vertical="center"/>
    </xf>
    <xf numFmtId="175" fontId="50" fillId="0" borderId="2">
      <alignment horizontal="center" vertical="center"/>
    </xf>
    <xf numFmtId="175" fontId="50" fillId="0" borderId="2">
      <alignment horizontal="center" vertical="center"/>
    </xf>
    <xf numFmtId="175" fontId="50" fillId="0" borderId="2">
      <alignment horizontal="center" vertical="center"/>
    </xf>
    <xf numFmtId="175" fontId="50" fillId="0" borderId="2">
      <alignment horizontal="center" vertical="center"/>
    </xf>
    <xf numFmtId="175" fontId="50" fillId="0" borderId="2">
      <alignment horizontal="center" vertical="center"/>
    </xf>
    <xf numFmtId="175" fontId="50" fillId="0" borderId="6">
      <alignment horizontal="center" vertical="center"/>
    </xf>
    <xf numFmtId="175" fontId="50" fillId="0" borderId="6">
      <alignment horizontal="center" vertical="center"/>
    </xf>
    <xf numFmtId="175" fontId="50" fillId="0" borderId="6">
      <alignment horizontal="center" vertical="center"/>
    </xf>
    <xf numFmtId="175" fontId="50" fillId="0" borderId="6">
      <alignment horizontal="center" vertical="center"/>
    </xf>
    <xf numFmtId="175" fontId="50" fillId="0" borderId="2">
      <alignment horizontal="center" vertical="center"/>
    </xf>
    <xf numFmtId="175" fontId="50" fillId="0" borderId="6">
      <alignment horizontal="center" vertical="center"/>
    </xf>
    <xf numFmtId="175" fontId="50" fillId="0" borderId="6">
      <alignment horizontal="center" vertical="center"/>
    </xf>
    <xf numFmtId="175" fontId="50" fillId="0" borderId="2">
      <alignment horizontal="center" vertical="center"/>
    </xf>
    <xf numFmtId="175" fontId="50" fillId="0" borderId="6">
      <alignment horizontal="center" vertical="center"/>
    </xf>
    <xf numFmtId="175" fontId="50" fillId="0" borderId="6">
      <alignment horizontal="center" vertical="center"/>
    </xf>
    <xf numFmtId="175" fontId="50" fillId="0" borderId="2">
      <alignment horizontal="center" vertical="center"/>
    </xf>
    <xf numFmtId="175" fontId="50" fillId="0" borderId="6">
      <alignment horizontal="center" vertical="center"/>
    </xf>
    <xf numFmtId="195" fontId="23" fillId="0" borderId="0" applyFont="0" applyFill="0" applyBorder="0" applyAlignment="0" applyProtection="0"/>
    <xf numFmtId="196" fontId="23" fillId="0" borderId="0" applyFont="0" applyFill="0" applyBorder="0" applyAlignment="0" applyProtection="0"/>
    <xf numFmtId="197" fontId="23" fillId="0" borderId="0" applyFont="0" applyFill="0" applyBorder="0" applyAlignment="0" applyProtection="0"/>
    <xf numFmtId="198" fontId="23" fillId="0" borderId="0" applyFont="0" applyFill="0" applyBorder="0" applyAlignment="0" applyProtection="0"/>
    <xf numFmtId="40" fontId="86" fillId="0" borderId="0" applyFont="0" applyFill="0" applyBorder="0" applyAlignment="0" applyProtection="0"/>
    <xf numFmtId="38" fontId="86" fillId="0" borderId="0" applyFont="0" applyFill="0" applyBorder="0" applyAlignment="0" applyProtection="0"/>
    <xf numFmtId="0" fontId="86" fillId="0" borderId="0" applyFont="0" applyFill="0" applyBorder="0" applyAlignment="0" applyProtection="0"/>
    <xf numFmtId="0" fontId="86" fillId="0" borderId="0" applyFont="0" applyFill="0" applyBorder="0" applyAlignment="0" applyProtection="0"/>
    <xf numFmtId="10" fontId="23" fillId="0" borderId="0" applyFont="0" applyFill="0" applyBorder="0" applyAlignment="0" applyProtection="0"/>
    <xf numFmtId="0" fontId="87" fillId="0" borderId="0"/>
    <xf numFmtId="199" fontId="23" fillId="0" borderId="0" applyFont="0" applyFill="0" applyBorder="0" applyAlignment="0" applyProtection="0"/>
    <xf numFmtId="200" fontId="23" fillId="0" borderId="0" applyFont="0" applyFill="0" applyBorder="0" applyAlignment="0" applyProtection="0"/>
    <xf numFmtId="201" fontId="88" fillId="0" borderId="0" applyFont="0" applyFill="0" applyBorder="0" applyAlignment="0" applyProtection="0"/>
    <xf numFmtId="202" fontId="88" fillId="0" borderId="0" applyFont="0" applyFill="0" applyBorder="0" applyAlignment="0" applyProtection="0"/>
    <xf numFmtId="0" fontId="89" fillId="0" borderId="0"/>
    <xf numFmtId="40" fontId="90" fillId="0" borderId="0" applyFont="0" applyFill="0" applyBorder="0" applyAlignment="0" applyProtection="0"/>
    <xf numFmtId="38" fontId="90" fillId="0" borderId="0" applyFont="0" applyFill="0" applyBorder="0" applyAlignment="0" applyProtection="0"/>
    <xf numFmtId="0" fontId="31" fillId="0" borderId="0"/>
    <xf numFmtId="203" fontId="62" fillId="0" borderId="0" applyFont="0" applyFill="0" applyBorder="0" applyAlignment="0" applyProtection="0"/>
    <xf numFmtId="177" fontId="62" fillId="0" borderId="0" applyFont="0" applyFill="0" applyBorder="0" applyAlignment="0" applyProtection="0"/>
    <xf numFmtId="0" fontId="23" fillId="0" borderId="0"/>
    <xf numFmtId="9" fontId="23" fillId="0" borderId="0" applyFont="0" applyFill="0" applyBorder="0" applyAlignment="0" applyProtection="0"/>
    <xf numFmtId="43" fontId="23" fillId="0" borderId="0" applyFont="0" applyFill="0" applyBorder="0" applyAlignment="0" applyProtection="0"/>
    <xf numFmtId="43" fontId="23" fillId="0" borderId="0" applyFont="0" applyFill="0" applyBorder="0" applyAlignment="0" applyProtection="0"/>
    <xf numFmtId="9" fontId="23" fillId="0" borderId="0" applyFont="0" applyFill="0" applyBorder="0" applyAlignment="0" applyProtection="0"/>
    <xf numFmtId="0" fontId="23" fillId="0" borderId="0"/>
  </cellStyleXfs>
  <cellXfs count="178">
    <xf numFmtId="0" fontId="0" fillId="0" borderId="0" xfId="0"/>
    <xf numFmtId="164" fontId="4" fillId="0" borderId="0" xfId="1" applyNumberFormat="1"/>
    <xf numFmtId="0" fontId="4" fillId="0" borderId="0" xfId="1"/>
    <xf numFmtId="0" fontId="4" fillId="0" borderId="0" xfId="1" applyBorder="1"/>
    <xf numFmtId="164" fontId="4" fillId="0" borderId="0" xfId="1" applyNumberFormat="1" applyBorder="1"/>
    <xf numFmtId="4" fontId="4" fillId="0" borderId="0" xfId="1" applyNumberFormat="1"/>
    <xf numFmtId="4" fontId="4" fillId="0" borderId="0" xfId="1" applyNumberFormat="1" applyBorder="1"/>
    <xf numFmtId="4" fontId="3" fillId="0" borderId="0" xfId="1" applyNumberFormat="1" applyFont="1" applyBorder="1"/>
    <xf numFmtId="4" fontId="3" fillId="0" borderId="0" xfId="1" applyNumberFormat="1" applyFont="1"/>
    <xf numFmtId="49" fontId="12" fillId="0" borderId="0" xfId="0" applyNumberFormat="1" applyFont="1" applyBorder="1" applyAlignment="1">
      <alignment horizontal="left" vertical="top" wrapText="1"/>
    </xf>
    <xf numFmtId="0" fontId="12" fillId="0" borderId="0" xfId="0" applyFont="1" applyBorder="1" applyAlignment="1">
      <alignment horizontal="center" vertical="top" wrapText="1"/>
    </xf>
    <xf numFmtId="164" fontId="12" fillId="0" borderId="0" xfId="0" applyNumberFormat="1" applyFont="1" applyBorder="1" applyAlignment="1">
      <alignment horizontal="center" vertical="top" wrapText="1"/>
    </xf>
    <xf numFmtId="2" fontId="12" fillId="0" borderId="0" xfId="0" applyNumberFormat="1" applyFont="1" applyBorder="1" applyAlignment="1">
      <alignment horizontal="center" vertical="top" wrapText="1"/>
    </xf>
    <xf numFmtId="2" fontId="1" fillId="0" borderId="0" xfId="0" applyNumberFormat="1" applyFont="1" applyBorder="1" applyAlignment="1">
      <alignment horizontal="right" vertical="top"/>
    </xf>
    <xf numFmtId="0" fontId="13" fillId="0" borderId="0" xfId="0" applyFont="1" applyAlignment="1">
      <alignment horizontal="left" vertical="center"/>
    </xf>
    <xf numFmtId="164" fontId="13" fillId="0" borderId="0" xfId="0" applyNumberFormat="1" applyFont="1" applyBorder="1" applyAlignment="1">
      <alignment horizontal="center" vertical="top"/>
    </xf>
    <xf numFmtId="2" fontId="13" fillId="0" borderId="0" xfId="0" applyNumberFormat="1" applyFont="1" applyBorder="1" applyAlignment="1">
      <alignment horizontal="right" vertical="top" indent="1"/>
    </xf>
    <xf numFmtId="164" fontId="13" fillId="0" borderId="0" xfId="0" applyNumberFormat="1" applyFont="1" applyBorder="1" applyAlignment="1">
      <alignment horizontal="right" vertical="top" indent="1"/>
    </xf>
    <xf numFmtId="49" fontId="12" fillId="0" borderId="0" xfId="0" applyNumberFormat="1" applyFont="1" applyBorder="1" applyAlignment="1">
      <alignment horizontal="left" vertical="top"/>
    </xf>
    <xf numFmtId="0" fontId="12" fillId="0" borderId="0" xfId="0" applyFont="1" applyBorder="1" applyAlignment="1">
      <alignment horizontal="left" vertical="top"/>
    </xf>
    <xf numFmtId="164" fontId="12" fillId="0" borderId="0" xfId="0" applyNumberFormat="1" applyFont="1" applyBorder="1" applyAlignment="1">
      <alignment horizontal="center" vertical="top"/>
    </xf>
    <xf numFmtId="2" fontId="12" fillId="0" borderId="0" xfId="0" applyNumberFormat="1" applyFont="1" applyBorder="1" applyAlignment="1">
      <alignment horizontal="right" vertical="top" indent="1"/>
    </xf>
    <xf numFmtId="164" fontId="12" fillId="0" borderId="0" xfId="0" applyNumberFormat="1" applyFont="1" applyBorder="1" applyAlignment="1">
      <alignment horizontal="right" vertical="top" indent="1"/>
    </xf>
    <xf numFmtId="0" fontId="12" fillId="0" borderId="0" xfId="0" applyFont="1" applyAlignment="1">
      <alignment horizontal="left" vertical="center"/>
    </xf>
    <xf numFmtId="0" fontId="0" fillId="0" borderId="0" xfId="0" applyFont="1" applyAlignment="1">
      <alignment horizontal="left"/>
    </xf>
    <xf numFmtId="164" fontId="12" fillId="0" borderId="0" xfId="0" applyNumberFormat="1" applyFont="1" applyBorder="1" applyAlignment="1">
      <alignment horizontal="left" vertical="top"/>
    </xf>
    <xf numFmtId="2" fontId="12" fillId="0" borderId="0" xfId="0" applyNumberFormat="1" applyFont="1" applyBorder="1" applyAlignment="1">
      <alignment horizontal="left" vertical="top" indent="1"/>
    </xf>
    <xf numFmtId="164" fontId="12" fillId="0" borderId="0" xfId="0" applyNumberFormat="1" applyFont="1" applyBorder="1" applyAlignment="1">
      <alignment horizontal="left" vertical="top" indent="1"/>
    </xf>
    <xf numFmtId="164" fontId="13" fillId="0" borderId="0" xfId="0" applyNumberFormat="1" applyFont="1" applyBorder="1" applyAlignment="1">
      <alignment horizontal="left" vertical="top"/>
    </xf>
    <xf numFmtId="2" fontId="13" fillId="0" borderId="0" xfId="0" applyNumberFormat="1" applyFont="1" applyBorder="1" applyAlignment="1">
      <alignment horizontal="left" vertical="top" indent="1"/>
    </xf>
    <xf numFmtId="164" fontId="13" fillId="0" borderId="0" xfId="0" applyNumberFormat="1" applyFont="1" applyBorder="1" applyAlignment="1">
      <alignment horizontal="left" vertical="top" indent="1"/>
    </xf>
    <xf numFmtId="0" fontId="0" fillId="0" borderId="0" xfId="0" applyAlignment="1">
      <alignment vertical="center"/>
    </xf>
    <xf numFmtId="0" fontId="0" fillId="0" borderId="0" xfId="0" applyFont="1"/>
    <xf numFmtId="0" fontId="12" fillId="0" borderId="0" xfId="0" applyFont="1" applyAlignment="1">
      <alignment horizontal="justify" vertical="center"/>
    </xf>
    <xf numFmtId="0" fontId="0" fillId="0" borderId="0" xfId="0" applyAlignment="1"/>
    <xf numFmtId="49" fontId="14" fillId="0" borderId="0" xfId="2" applyNumberFormat="1" applyFont="1" applyBorder="1" applyAlignment="1">
      <alignment horizontal="left" vertical="top"/>
    </xf>
    <xf numFmtId="0" fontId="13" fillId="0" borderId="0" xfId="0" applyFont="1" applyBorder="1" applyAlignment="1">
      <alignment horizontal="justify" vertical="top" wrapText="1"/>
    </xf>
    <xf numFmtId="2" fontId="2" fillId="0" borderId="0" xfId="0" applyNumberFormat="1" applyFont="1" applyBorder="1" applyAlignment="1">
      <alignment horizontal="right" vertical="top"/>
    </xf>
    <xf numFmtId="2" fontId="15" fillId="0" borderId="0" xfId="0" applyNumberFormat="1" applyFont="1" applyBorder="1" applyAlignment="1">
      <alignment horizontal="right" vertical="top"/>
    </xf>
    <xf numFmtId="0" fontId="5" fillId="0" borderId="0" xfId="0" applyFont="1" applyBorder="1" applyAlignment="1">
      <alignment horizontal="left"/>
    </xf>
    <xf numFmtId="2" fontId="5" fillId="0" borderId="0" xfId="0" applyNumberFormat="1" applyFont="1" applyBorder="1" applyAlignment="1">
      <alignment horizontal="right"/>
    </xf>
    <xf numFmtId="0" fontId="5" fillId="0" borderId="0" xfId="0" applyFont="1" applyBorder="1" applyAlignment="1">
      <alignment horizontal="right"/>
    </xf>
    <xf numFmtId="0" fontId="13" fillId="0" borderId="0" xfId="0" applyFont="1" applyAlignment="1">
      <alignment horizontal="justify" vertical="center"/>
    </xf>
    <xf numFmtId="0" fontId="0" fillId="0" borderId="0" xfId="0" applyFont="1" applyAlignment="1"/>
    <xf numFmtId="49" fontId="13" fillId="0" borderId="0" xfId="0" applyNumberFormat="1" applyFont="1" applyAlignment="1">
      <alignment horizontal="justify" vertical="center"/>
    </xf>
    <xf numFmtId="0" fontId="13" fillId="0" borderId="0" xfId="0" applyFont="1" applyAlignment="1"/>
    <xf numFmtId="49" fontId="13" fillId="0" borderId="0" xfId="0" applyNumberFormat="1" applyFont="1" applyAlignment="1">
      <alignment horizontal="right" vertical="center"/>
    </xf>
    <xf numFmtId="164" fontId="1" fillId="0" borderId="0" xfId="0" applyNumberFormat="1" applyFont="1" applyAlignment="1">
      <alignment horizontal="center"/>
    </xf>
    <xf numFmtId="2" fontId="1" fillId="0" borderId="0" xfId="0" applyNumberFormat="1" applyFont="1" applyAlignment="1">
      <alignment horizontal="right" vertical="top" indent="1"/>
    </xf>
    <xf numFmtId="164" fontId="1" fillId="0" borderId="0" xfId="0" applyNumberFormat="1" applyFont="1" applyAlignment="1">
      <alignment horizontal="right" vertical="top" indent="1"/>
    </xf>
    <xf numFmtId="2" fontId="1" fillId="0" borderId="0" xfId="0" applyNumberFormat="1" applyFont="1" applyAlignment="1">
      <alignment horizontal="right"/>
    </xf>
    <xf numFmtId="49" fontId="1" fillId="0" borderId="0" xfId="0" applyNumberFormat="1" applyFont="1" applyAlignment="1">
      <alignment horizontal="left"/>
    </xf>
    <xf numFmtId="0" fontId="1" fillId="0" borderId="0" xfId="0" applyFont="1" applyAlignment="1">
      <alignment horizontal="center"/>
    </xf>
    <xf numFmtId="49" fontId="1" fillId="0" borderId="0" xfId="0" applyNumberFormat="1" applyFont="1" applyAlignment="1">
      <alignment horizontal="right"/>
    </xf>
    <xf numFmtId="49" fontId="13" fillId="0" borderId="0" xfId="0" applyNumberFormat="1" applyFont="1" applyAlignment="1">
      <alignment horizontal="left" vertical="top"/>
    </xf>
    <xf numFmtId="49" fontId="13" fillId="0" borderId="0" xfId="0" applyNumberFormat="1" applyFont="1" applyAlignment="1">
      <alignment horizontal="right" vertical="top"/>
    </xf>
    <xf numFmtId="0" fontId="13" fillId="0" borderId="0" xfId="0" applyFont="1" applyAlignment="1">
      <alignment horizontal="justify" vertical="top"/>
    </xf>
    <xf numFmtId="49" fontId="16" fillId="0" borderId="0" xfId="0" applyNumberFormat="1" applyFont="1" applyAlignment="1">
      <alignment horizontal="left" vertical="top"/>
    </xf>
    <xf numFmtId="0" fontId="17" fillId="0" borderId="0" xfId="0" applyFont="1" applyAlignment="1">
      <alignment horizontal="left" vertical="top"/>
    </xf>
    <xf numFmtId="0" fontId="16" fillId="0" borderId="0" xfId="0" applyFont="1" applyAlignment="1">
      <alignment horizontal="left" vertical="top"/>
    </xf>
    <xf numFmtId="49" fontId="18" fillId="0" borderId="0" xfId="0" applyNumberFormat="1" applyFont="1" applyAlignment="1">
      <alignment horizontal="right" vertical="top"/>
    </xf>
    <xf numFmtId="49" fontId="19" fillId="0" borderId="0" xfId="0" applyNumberFormat="1" applyFont="1" applyAlignment="1">
      <alignment horizontal="left" vertical="top"/>
    </xf>
    <xf numFmtId="0" fontId="18" fillId="0" borderId="0" xfId="0" applyFont="1" applyAlignment="1">
      <alignment horizontal="right" vertical="top"/>
    </xf>
    <xf numFmtId="0" fontId="18" fillId="0" borderId="0" xfId="0" applyFont="1" applyAlignment="1">
      <alignment horizontal="left" vertical="top"/>
    </xf>
    <xf numFmtId="49" fontId="20" fillId="0" borderId="0" xfId="0" applyNumberFormat="1" applyFont="1" applyAlignment="1">
      <alignment horizontal="right" vertical="top"/>
    </xf>
    <xf numFmtId="49" fontId="16" fillId="0" borderId="0" xfId="0" applyNumberFormat="1" applyFont="1" applyAlignment="1">
      <alignment horizontal="left" vertical="top" wrapText="1"/>
    </xf>
    <xf numFmtId="49" fontId="18" fillId="0" borderId="0" xfId="0" applyNumberFormat="1" applyFont="1" applyAlignment="1">
      <alignment horizontal="right" vertical="top" wrapText="1"/>
    </xf>
    <xf numFmtId="0" fontId="18" fillId="0" borderId="0" xfId="0" applyFont="1" applyAlignment="1">
      <alignment horizontal="left" vertical="top" wrapText="1"/>
    </xf>
    <xf numFmtId="164" fontId="13" fillId="0" borderId="0" xfId="0" applyNumberFormat="1" applyFont="1" applyAlignment="1">
      <alignment horizontal="justify" vertical="top"/>
    </xf>
    <xf numFmtId="2" fontId="15" fillId="0" borderId="0" xfId="0" applyNumberFormat="1" applyFont="1" applyAlignment="1">
      <alignment horizontal="justify" vertical="top"/>
    </xf>
    <xf numFmtId="164" fontId="15" fillId="0" borderId="0" xfId="0" applyNumberFormat="1" applyFont="1" applyAlignment="1">
      <alignment horizontal="justify" vertical="top"/>
    </xf>
    <xf numFmtId="164" fontId="16" fillId="0" borderId="0" xfId="0" applyNumberFormat="1" applyFont="1" applyAlignment="1">
      <alignment horizontal="left" vertical="top"/>
    </xf>
    <xf numFmtId="2" fontId="9" fillId="0" borderId="0" xfId="0" applyNumberFormat="1" applyFont="1" applyAlignment="1">
      <alignment horizontal="left" vertical="top"/>
    </xf>
    <xf numFmtId="164" fontId="9" fillId="0" borderId="0" xfId="0" applyNumberFormat="1" applyFont="1" applyAlignment="1">
      <alignment horizontal="left" vertical="top"/>
    </xf>
    <xf numFmtId="2" fontId="21" fillId="0" borderId="0" xfId="0" applyNumberFormat="1" applyFont="1" applyAlignment="1">
      <alignment horizontal="right" vertical="top"/>
    </xf>
    <xf numFmtId="0" fontId="10" fillId="0" borderId="0" xfId="0" applyFont="1" applyAlignment="1">
      <alignment horizontal="left" vertical="top" wrapText="1"/>
    </xf>
    <xf numFmtId="164" fontId="18" fillId="0" borderId="0" xfId="0" applyNumberFormat="1" applyFont="1" applyAlignment="1">
      <alignment horizontal="left" vertical="top"/>
    </xf>
    <xf numFmtId="2" fontId="10" fillId="0" borderId="0" xfId="0" applyNumberFormat="1" applyFont="1" applyAlignment="1">
      <alignment horizontal="left" vertical="top"/>
    </xf>
    <xf numFmtId="164" fontId="10" fillId="0" borderId="0" xfId="0" applyNumberFormat="1" applyFont="1" applyAlignment="1">
      <alignment horizontal="left" vertical="top"/>
    </xf>
    <xf numFmtId="2" fontId="8" fillId="0" borderId="0" xfId="0" applyNumberFormat="1" applyFont="1" applyAlignment="1">
      <alignment horizontal="right" vertical="top"/>
    </xf>
    <xf numFmtId="2" fontId="10" fillId="0" borderId="0" xfId="0" applyNumberFormat="1" applyFont="1" applyAlignment="1">
      <alignment horizontal="right" vertical="top"/>
    </xf>
    <xf numFmtId="0" fontId="11" fillId="0" borderId="0" xfId="0" applyFont="1" applyAlignment="1">
      <alignment horizontal="left"/>
    </xf>
    <xf numFmtId="164" fontId="16" fillId="0" borderId="0" xfId="0" applyNumberFormat="1" applyFont="1" applyAlignment="1">
      <alignment horizontal="left" vertical="top" wrapText="1"/>
    </xf>
    <xf numFmtId="2" fontId="9" fillId="0" borderId="0" xfId="0" applyNumberFormat="1" applyFont="1" applyAlignment="1">
      <alignment horizontal="left" vertical="top" wrapText="1"/>
    </xf>
    <xf numFmtId="164" fontId="9" fillId="0" borderId="0" xfId="0" applyNumberFormat="1" applyFont="1" applyAlignment="1">
      <alignment horizontal="left" vertical="top" wrapText="1"/>
    </xf>
    <xf numFmtId="2" fontId="8" fillId="0" borderId="0" xfId="0" applyNumberFormat="1" applyFont="1" applyAlignment="1">
      <alignment horizontal="right" vertical="top" wrapText="1"/>
    </xf>
    <xf numFmtId="2" fontId="21" fillId="0" borderId="0" xfId="0" applyNumberFormat="1" applyFont="1" applyAlignment="1">
      <alignment horizontal="right" vertical="top" wrapText="1"/>
    </xf>
    <xf numFmtId="0" fontId="11" fillId="0" borderId="0" xfId="0" applyFont="1" applyAlignment="1">
      <alignment horizontal="left" wrapText="1"/>
    </xf>
    <xf numFmtId="0" fontId="23" fillId="0" borderId="0" xfId="788"/>
    <xf numFmtId="0" fontId="96" fillId="8" borderId="0" xfId="685" applyNumberFormat="1" applyFont="1" applyFill="1" applyBorder="1" applyAlignment="1" applyProtection="1">
      <alignment vertical="top"/>
    </xf>
    <xf numFmtId="0" fontId="94" fillId="8" borderId="0" xfId="535" applyNumberFormat="1" applyFont="1" applyFill="1" applyBorder="1" applyAlignment="1" applyProtection="1">
      <alignment vertical="center"/>
    </xf>
    <xf numFmtId="43" fontId="94" fillId="8" borderId="0" xfId="685" applyNumberFormat="1" applyFont="1" applyFill="1" applyBorder="1" applyAlignment="1" applyProtection="1">
      <alignment vertical="center"/>
    </xf>
    <xf numFmtId="0" fontId="22" fillId="0" borderId="0" xfId="0" applyFont="1" applyAlignment="1">
      <alignment vertical="center"/>
    </xf>
    <xf numFmtId="43" fontId="96" fillId="8" borderId="0" xfId="685" applyNumberFormat="1" applyFont="1" applyFill="1" applyBorder="1" applyAlignment="1" applyProtection="1">
      <alignment vertical="center"/>
    </xf>
    <xf numFmtId="0" fontId="2" fillId="0" borderId="0" xfId="0" applyFont="1"/>
    <xf numFmtId="0" fontId="0" fillId="0" borderId="0" xfId="0" applyAlignment="1">
      <alignment wrapText="1"/>
    </xf>
    <xf numFmtId="0" fontId="0" fillId="0" borderId="2" xfId="0" applyBorder="1"/>
    <xf numFmtId="0" fontId="0" fillId="0" borderId="2" xfId="0" applyBorder="1" applyAlignment="1">
      <alignment wrapText="1"/>
    </xf>
    <xf numFmtId="0" fontId="0" fillId="0" borderId="2" xfId="0" applyBorder="1" applyAlignment="1">
      <alignment horizontal="center"/>
    </xf>
    <xf numFmtId="9" fontId="0" fillId="0" borderId="2" xfId="0" applyNumberFormat="1" applyBorder="1" applyAlignment="1">
      <alignment horizontal="center"/>
    </xf>
    <xf numFmtId="0" fontId="0" fillId="0" borderId="2" xfId="0" applyBorder="1" applyAlignment="1">
      <alignment horizontal="center" wrapText="1"/>
    </xf>
    <xf numFmtId="0" fontId="2" fillId="0" borderId="2" xfId="0" applyFont="1" applyBorder="1"/>
    <xf numFmtId="0" fontId="2" fillId="0" borderId="2" xfId="0" applyFont="1" applyFill="1" applyBorder="1" applyAlignment="1">
      <alignment horizontal="center"/>
    </xf>
    <xf numFmtId="0" fontId="2" fillId="0" borderId="2" xfId="0" applyFont="1" applyBorder="1" applyAlignment="1">
      <alignment horizontal="center" vertical="center"/>
    </xf>
    <xf numFmtId="0" fontId="94" fillId="0" borderId="0" xfId="685" applyFont="1" applyFill="1" applyBorder="1" applyAlignment="1" applyProtection="1">
      <alignment horizontal="center" vertical="center"/>
    </xf>
    <xf numFmtId="0" fontId="96" fillId="0" borderId="0" xfId="685" applyFont="1" applyFill="1" applyBorder="1" applyAlignment="1" applyProtection="1">
      <alignment horizontal="justify" vertical="center" wrapText="1"/>
    </xf>
    <xf numFmtId="4" fontId="94" fillId="0" borderId="0" xfId="685" applyNumberFormat="1" applyFont="1" applyFill="1" applyBorder="1" applyAlignment="1" applyProtection="1">
      <alignment horizontal="right" vertical="center"/>
    </xf>
    <xf numFmtId="4" fontId="94" fillId="0" borderId="0" xfId="685" applyNumberFormat="1" applyFont="1" applyFill="1" applyBorder="1" applyAlignment="1" applyProtection="1">
      <alignment horizontal="center" vertical="center"/>
    </xf>
    <xf numFmtId="43" fontId="95" fillId="8" borderId="0" xfId="105" applyFont="1" applyFill="1" applyBorder="1" applyAlignment="1" applyProtection="1">
      <alignment horizontal="center" vertical="center"/>
      <protection locked="0"/>
    </xf>
    <xf numFmtId="43" fontId="95" fillId="8" borderId="0" xfId="105" applyFont="1" applyFill="1" applyBorder="1" applyAlignment="1" applyProtection="1">
      <alignment horizontal="center" vertical="center"/>
    </xf>
    <xf numFmtId="0" fontId="94" fillId="8" borderId="0" xfId="685" applyNumberFormat="1" applyFont="1" applyFill="1" applyBorder="1" applyAlignment="1" applyProtection="1">
      <alignment horizontal="justify" vertical="center" wrapText="1"/>
    </xf>
    <xf numFmtId="43" fontId="94" fillId="0" borderId="0" xfId="105" applyFont="1" applyFill="1" applyBorder="1" applyAlignment="1" applyProtection="1">
      <alignment horizontal="center" vertical="center"/>
      <protection locked="0"/>
    </xf>
    <xf numFmtId="43" fontId="27" fillId="0" borderId="0" xfId="105" applyFont="1" applyFill="1" applyBorder="1" applyAlignment="1" applyProtection="1">
      <alignment horizontal="center" vertical="center"/>
    </xf>
    <xf numFmtId="0" fontId="25" fillId="0" borderId="0" xfId="118" applyNumberFormat="1" applyFont="1" applyFill="1" applyBorder="1" applyAlignment="1" applyProtection="1">
      <alignment horizontal="justify" vertical="top" wrapText="1"/>
    </xf>
    <xf numFmtId="43" fontId="94" fillId="8" borderId="0" xfId="105" applyFont="1" applyFill="1" applyBorder="1" applyAlignment="1" applyProtection="1">
      <alignment horizontal="center" vertical="center" wrapText="1"/>
    </xf>
    <xf numFmtId="0" fontId="24" fillId="0" borderId="0" xfId="409" applyFont="1" applyBorder="1" applyAlignment="1" applyProtection="1">
      <alignment horizontal="justify" vertical="top" wrapText="1"/>
    </xf>
    <xf numFmtId="0" fontId="24" fillId="0" borderId="0" xfId="118" applyNumberFormat="1" applyFont="1" applyFill="1" applyBorder="1" applyAlignment="1" applyProtection="1">
      <alignment horizontal="justify" vertical="top" wrapText="1"/>
    </xf>
    <xf numFmtId="43" fontId="94" fillId="0" borderId="0" xfId="105" applyFont="1" applyFill="1" applyBorder="1" applyAlignment="1" applyProtection="1">
      <alignment horizontal="right" vertical="center"/>
      <protection locked="0"/>
    </xf>
    <xf numFmtId="0" fontId="95" fillId="0" borderId="0" xfId="685" applyFont="1" applyFill="1" applyBorder="1" applyAlignment="1" applyProtection="1">
      <alignment horizontal="center" vertical="center"/>
    </xf>
    <xf numFmtId="0" fontId="26" fillId="0" borderId="0" xfId="410" applyFont="1" applyFill="1" applyBorder="1" applyAlignment="1" applyProtection="1">
      <alignment horizontal="justify" vertical="top" wrapText="1"/>
    </xf>
    <xf numFmtId="4" fontId="95" fillId="0" borderId="0" xfId="685" applyNumberFormat="1" applyFont="1" applyFill="1" applyBorder="1" applyAlignment="1" applyProtection="1">
      <alignment horizontal="right" vertical="center"/>
    </xf>
    <xf numFmtId="4" fontId="94" fillId="0" borderId="0" xfId="685" applyNumberFormat="1" applyFont="1" applyFill="1" applyBorder="1" applyAlignment="1" applyProtection="1">
      <alignment horizontal="center" vertical="center" wrapText="1"/>
    </xf>
    <xf numFmtId="43" fontId="95" fillId="0" borderId="0" xfId="105" applyFont="1" applyFill="1" applyBorder="1" applyAlignment="1" applyProtection="1">
      <alignment horizontal="center" vertical="center"/>
      <protection locked="0"/>
    </xf>
    <xf numFmtId="4" fontId="95" fillId="0" borderId="0" xfId="685" applyNumberFormat="1" applyFont="1" applyFill="1" applyBorder="1" applyAlignment="1" applyProtection="1">
      <alignment horizontal="center" vertical="center"/>
    </xf>
    <xf numFmtId="43" fontId="95" fillId="0" borderId="0" xfId="786" applyFont="1" applyFill="1" applyBorder="1" applyAlignment="1" applyProtection="1">
      <alignment horizontal="center" vertical="center"/>
    </xf>
    <xf numFmtId="0" fontId="97" fillId="0" borderId="0" xfId="685" applyFont="1" applyFill="1" applyBorder="1" applyAlignment="1" applyProtection="1">
      <alignment horizontal="center" vertical="center"/>
    </xf>
    <xf numFmtId="0" fontId="98" fillId="0" borderId="0" xfId="410" applyFont="1" applyFill="1" applyBorder="1" applyAlignment="1" applyProtection="1">
      <alignment horizontal="justify" vertical="top" wrapText="1"/>
    </xf>
    <xf numFmtId="4" fontId="97" fillId="0" borderId="0" xfId="685" applyNumberFormat="1" applyFont="1" applyFill="1" applyBorder="1" applyAlignment="1" applyProtection="1">
      <alignment horizontal="right" vertical="center"/>
    </xf>
    <xf numFmtId="4" fontId="97" fillId="0" borderId="0" xfId="685" applyNumberFormat="1" applyFont="1" applyFill="1" applyBorder="1" applyAlignment="1" applyProtection="1">
      <alignment horizontal="center" vertical="center"/>
    </xf>
    <xf numFmtId="43" fontId="97" fillId="0" borderId="0" xfId="105" applyFont="1" applyFill="1" applyBorder="1" applyAlignment="1" applyProtection="1">
      <alignment horizontal="center" vertical="center"/>
      <protection locked="0"/>
    </xf>
    <xf numFmtId="43" fontId="97" fillId="0" borderId="0" xfId="786" applyFont="1" applyFill="1" applyBorder="1" applyAlignment="1" applyProtection="1">
      <alignment horizontal="center" vertical="center"/>
    </xf>
    <xf numFmtId="0" fontId="0" fillId="0" borderId="0" xfId="0" applyBorder="1"/>
    <xf numFmtId="0" fontId="2" fillId="0" borderId="0" xfId="0" applyFont="1" applyBorder="1"/>
    <xf numFmtId="0" fontId="0" fillId="0" borderId="4" xfId="0" applyBorder="1"/>
    <xf numFmtId="0" fontId="12" fillId="0" borderId="19" xfId="0" applyFont="1" applyBorder="1" applyAlignment="1">
      <alignment horizontal="left" vertical="center"/>
    </xf>
    <xf numFmtId="0" fontId="0" fillId="0" borderId="20" xfId="0" applyBorder="1"/>
    <xf numFmtId="0" fontId="96" fillId="8" borderId="3" xfId="685" applyNumberFormat="1" applyFont="1" applyFill="1" applyBorder="1" applyAlignment="1" applyProtection="1">
      <alignment vertical="top"/>
    </xf>
    <xf numFmtId="0" fontId="0" fillId="0" borderId="18" xfId="0" applyBorder="1"/>
    <xf numFmtId="0" fontId="0" fillId="0" borderId="3" xfId="0" applyBorder="1"/>
    <xf numFmtId="0" fontId="17" fillId="0" borderId="0" xfId="0" applyFont="1" applyBorder="1" applyAlignment="1">
      <alignment horizontal="left" vertical="top"/>
    </xf>
    <xf numFmtId="0" fontId="16" fillId="0" borderId="0" xfId="0" applyFont="1" applyBorder="1" applyAlignment="1">
      <alignment horizontal="left" vertical="top"/>
    </xf>
    <xf numFmtId="164" fontId="16" fillId="0" borderId="0" xfId="0" applyNumberFormat="1" applyFont="1" applyBorder="1" applyAlignment="1">
      <alignment horizontal="left" vertical="top"/>
    </xf>
    <xf numFmtId="0" fontId="0" fillId="0" borderId="19" xfId="0" applyBorder="1"/>
    <xf numFmtId="0" fontId="17" fillId="0" borderId="3" xfId="0" applyFont="1" applyBorder="1" applyAlignment="1">
      <alignment horizontal="left" vertical="top"/>
    </xf>
    <xf numFmtId="0" fontId="94" fillId="0" borderId="3" xfId="685" applyFont="1" applyFill="1" applyBorder="1" applyAlignment="1" applyProtection="1">
      <alignment horizontal="center" vertical="center"/>
    </xf>
    <xf numFmtId="43" fontId="95" fillId="8" borderId="18" xfId="105" applyFont="1" applyFill="1" applyBorder="1" applyAlignment="1" applyProtection="1">
      <alignment horizontal="center" vertical="center"/>
    </xf>
    <xf numFmtId="0" fontId="94" fillId="0" borderId="22" xfId="685" applyFont="1" applyFill="1" applyBorder="1" applyAlignment="1" applyProtection="1">
      <alignment horizontal="center" vertical="center"/>
    </xf>
    <xf numFmtId="0" fontId="0" fillId="0" borderId="25" xfId="0" applyBorder="1" applyAlignment="1">
      <alignment vertical="center"/>
    </xf>
    <xf numFmtId="0" fontId="0" fillId="0" borderId="21" xfId="0" applyBorder="1" applyAlignment="1">
      <alignment vertical="center"/>
    </xf>
    <xf numFmtId="0" fontId="2" fillId="0" borderId="2" xfId="0" applyFont="1" applyBorder="1" applyAlignment="1">
      <alignment vertical="center" wrapText="1"/>
    </xf>
    <xf numFmtId="0" fontId="0" fillId="0" borderId="2" xfId="0" applyBorder="1" applyAlignment="1">
      <alignment vertical="center" wrapText="1"/>
    </xf>
    <xf numFmtId="0" fontId="0" fillId="0" borderId="2" xfId="0" applyBorder="1" applyAlignment="1">
      <alignment vertical="center"/>
    </xf>
    <xf numFmtId="0" fontId="94" fillId="0" borderId="3" xfId="685" applyFont="1" applyFill="1" applyBorder="1" applyAlignment="1" applyProtection="1">
      <alignment horizontal="center" vertical="top"/>
    </xf>
    <xf numFmtId="0" fontId="13" fillId="0" borderId="0" xfId="0" applyFont="1" applyAlignment="1">
      <alignment horizontal="justify" vertical="center" wrapText="1"/>
    </xf>
    <xf numFmtId="0" fontId="0" fillId="0" borderId="0" xfId="0" applyFont="1" applyAlignment="1">
      <alignment wrapText="1"/>
    </xf>
    <xf numFmtId="0" fontId="13" fillId="0" borderId="0" xfId="0" applyFont="1" applyAlignment="1">
      <alignment horizontal="justify" vertical="center"/>
    </xf>
    <xf numFmtId="0" fontId="0" fillId="0" borderId="0" xfId="0" applyFont="1" applyAlignment="1"/>
    <xf numFmtId="49" fontId="13" fillId="0" borderId="0" xfId="0" applyNumberFormat="1" applyFont="1" applyAlignment="1">
      <alignment horizontal="left" vertical="center"/>
    </xf>
    <xf numFmtId="49" fontId="0" fillId="0" borderId="0" xfId="0" applyNumberFormat="1" applyFont="1" applyAlignment="1">
      <alignment horizontal="left"/>
    </xf>
    <xf numFmtId="0" fontId="12" fillId="0" borderId="0" xfId="0" applyFont="1" applyAlignment="1">
      <alignment horizontal="justify" vertical="center"/>
    </xf>
    <xf numFmtId="0" fontId="0" fillId="0" borderId="0" xfId="0" applyAlignment="1"/>
    <xf numFmtId="0" fontId="94" fillId="8" borderId="23" xfId="685" applyNumberFormat="1" applyFont="1" applyFill="1" applyBorder="1" applyAlignment="1" applyProtection="1">
      <alignment horizontal="left" vertical="center"/>
    </xf>
    <xf numFmtId="0" fontId="94" fillId="8" borderId="24" xfId="685" applyNumberFormat="1" applyFont="1" applyFill="1" applyBorder="1" applyAlignment="1" applyProtection="1">
      <alignment horizontal="left" vertical="center"/>
    </xf>
    <xf numFmtId="0" fontId="94" fillId="8" borderId="0" xfId="685" applyNumberFormat="1" applyFont="1" applyFill="1" applyBorder="1" applyAlignment="1" applyProtection="1">
      <alignment horizontal="left" vertical="center" wrapText="1"/>
    </xf>
    <xf numFmtId="0" fontId="94" fillId="8" borderId="18" xfId="685" applyNumberFormat="1" applyFont="1" applyFill="1" applyBorder="1" applyAlignment="1" applyProtection="1">
      <alignment horizontal="left" vertical="center" wrapText="1"/>
    </xf>
    <xf numFmtId="0" fontId="2" fillId="0" borderId="16" xfId="0" applyFont="1" applyBorder="1" applyAlignment="1">
      <alignment horizontal="center"/>
    </xf>
    <xf numFmtId="0" fontId="2" fillId="0" borderId="10" xfId="0" applyFont="1" applyBorder="1" applyAlignment="1">
      <alignment horizontal="center"/>
    </xf>
    <xf numFmtId="0" fontId="2" fillId="0" borderId="17" xfId="0" applyFont="1" applyBorder="1" applyAlignment="1">
      <alignment horizontal="center"/>
    </xf>
    <xf numFmtId="0" fontId="94" fillId="8" borderId="0" xfId="685" applyNumberFormat="1" applyFont="1" applyFill="1" applyBorder="1" applyAlignment="1" applyProtection="1">
      <alignment horizontal="left" vertical="center"/>
    </xf>
    <xf numFmtId="0" fontId="94" fillId="8" borderId="18" xfId="685" applyNumberFormat="1" applyFont="1" applyFill="1" applyBorder="1" applyAlignment="1" applyProtection="1">
      <alignment horizontal="left" vertical="center"/>
    </xf>
    <xf numFmtId="0" fontId="3" fillId="0" borderId="25" xfId="0" applyFont="1" applyBorder="1" applyAlignment="1">
      <alignment vertical="center" wrapText="1"/>
    </xf>
    <xf numFmtId="0" fontId="0" fillId="0" borderId="25" xfId="0" applyBorder="1" applyAlignment="1">
      <alignment horizontal="center" vertical="center" wrapText="1"/>
    </xf>
    <xf numFmtId="0" fontId="0" fillId="0" borderId="21" xfId="0" applyBorder="1" applyAlignment="1">
      <alignment horizontal="center" vertical="center" wrapText="1"/>
    </xf>
    <xf numFmtId="0" fontId="0" fillId="0" borderId="25" xfId="0" applyBorder="1" applyAlignment="1">
      <alignment horizontal="center" vertical="center"/>
    </xf>
    <xf numFmtId="0" fontId="0" fillId="0" borderId="21" xfId="0" applyBorder="1" applyAlignment="1">
      <alignment horizontal="center" vertical="center"/>
    </xf>
    <xf numFmtId="0" fontId="18" fillId="0" borderId="0" xfId="0" applyFont="1" applyAlignment="1">
      <alignment horizontal="left" vertical="top" wrapText="1"/>
    </xf>
    <xf numFmtId="0" fontId="0" fillId="0" borderId="2" xfId="0" applyBorder="1" applyAlignment="1">
      <alignment horizontal="center" vertical="center" wrapText="1"/>
    </xf>
    <xf numFmtId="0" fontId="3" fillId="0" borderId="21" xfId="0" applyFont="1" applyBorder="1" applyAlignment="1">
      <alignment vertical="center" wrapText="1"/>
    </xf>
  </cellXfs>
  <cellStyles count="789">
    <cellStyle name="." xfId="7"/>
    <cellStyle name="??" xfId="8"/>
    <cellStyle name="?? [0.00]_laroux" xfId="9"/>
    <cellStyle name="???? [0.00]_laroux" xfId="10"/>
    <cellStyle name="????_laroux" xfId="11"/>
    <cellStyle name="??_??" xfId="12"/>
    <cellStyle name="_5. Annexure I" xfId="13"/>
    <cellStyle name="_Angsana" xfId="14"/>
    <cellStyle name="_Annex to RA Bill 3 &amp;amp_ 3A1" xfId="15"/>
    <cellStyle name="_Area Statement 0705017" xfId="16"/>
    <cellStyle name="_AUSTIN" xfId="17"/>
    <cellStyle name="_Aztec" xfId="18"/>
    <cellStyle name="_BOQ" xfId="19"/>
    <cellStyle name="_certified santech bill-3" xfId="20"/>
    <cellStyle name="_eta" xfId="21"/>
    <cellStyle name="_ETA_RAB1_certified" xfId="22"/>
    <cellStyle name="_External Works BOQ's" xfId="23"/>
    <cellStyle name="_FINAL ETA" xfId="24"/>
    <cellStyle name="_Fire Fighting Works" xfId="25"/>
    <cellStyle name="_Glaxo-Smithkline" xfId="26"/>
    <cellStyle name="_Google" xfId="27"/>
    <cellStyle name="_H P campus" xfId="28"/>
    <cellStyle name="_H.P. - Brigade Hul-Kul-Bills" xfId="29"/>
    <cellStyle name="_kafex_RA_04" xfId="30"/>
    <cellStyle name="_KFAEX__RAB-2-certified" xfId="31"/>
    <cellStyle name="_Mantri - Revised" xfId="32"/>
    <cellStyle name="_M-BOOK BILL-6 (EXT)-Final" xfId="33"/>
    <cellStyle name="_MERB-263-B" xfId="34"/>
    <cellStyle name="_MERB-263-B(Final Abstract)" xfId="35"/>
    <cellStyle name="_Micron- Certified" xfId="36"/>
    <cellStyle name="_Micron RAB-4 Certified" xfId="37"/>
    <cellStyle name="_Micron RAB-5 Certified(Final-13-11-06)" xfId="38"/>
    <cellStyle name="_Micron RAB-5Certified(Final)" xfId="39"/>
    <cellStyle name="_Ocwen - 1" xfId="40"/>
    <cellStyle name="_Ocwen - Ñ" xfId="41"/>
    <cellStyle name="_OTIS RA-1 (Certified)Dated 02.06.06" xfId="42"/>
    <cellStyle name="_OTIS RA-1 final -Certified - Dated 08.06.06( R2)" xfId="43"/>
    <cellStyle name="_OTIS_RA_03" xfId="44"/>
    <cellStyle name="_OTIS_RA-02 c&amp;b certified" xfId="45"/>
    <cellStyle name="_OTIS_RA-03 c&amp;b certified" xfId="46"/>
    <cellStyle name="_Prestart-00-HO-FINAL-Approved" xfId="47"/>
    <cellStyle name="_Prestige - HP Campus" xfId="48"/>
    <cellStyle name="_Prestige Corporate Office" xfId="49"/>
    <cellStyle name="_R(1).A_01_Santech(certified)" xfId="50"/>
    <cellStyle name="_R(1).A_01_Santech-final-certified" xfId="51"/>
    <cellStyle name="_RA - BILL - 4 - certified" xfId="52"/>
    <cellStyle name="_RA_01_KAFAX-CERTIFIED" xfId="53"/>
    <cellStyle name="_RA_01_KAFAX-final-certified" xfId="54"/>
    <cellStyle name="_rab-02" xfId="55"/>
    <cellStyle name="_rab-03" xfId="56"/>
    <cellStyle name="_RMZ  Futura" xfId="57"/>
    <cellStyle name="_S.G. Software - BOQ" xfId="58"/>
    <cellStyle name="_Santech_bill_certified" xfId="59"/>
    <cellStyle name="_Santech_M.Sheet-Abstract" xfId="60"/>
    <cellStyle name="_SANTECH_RAB_2-CERTIFIED" xfId="61"/>
    <cellStyle name="_Vysya Bank - Mittal Towers" xfId="62"/>
    <cellStyle name="_Working micron Ext.Final" xfId="63"/>
    <cellStyle name="•W€_Electrical" xfId="64"/>
    <cellStyle name="•W_Electrical" xfId="65"/>
    <cellStyle name="1/100000" xfId="66"/>
    <cellStyle name="75" xfId="67"/>
    <cellStyle name="A" xfId="68"/>
    <cellStyle name="active" xfId="69"/>
    <cellStyle name="ÅëÈ­ [0]_±âÅ¸" xfId="70"/>
    <cellStyle name="AeE­ [0]_INQUIRY ¿μ¾÷AßAø " xfId="71"/>
    <cellStyle name="ÅëÈ­_±âÅ¸" xfId="72"/>
    <cellStyle name="AeE­_INQUIRY ¿μ¾÷AßAø " xfId="73"/>
    <cellStyle name="Arial1 - Style1" xfId="74"/>
    <cellStyle name="Arial1 - Style2" xfId="75"/>
    <cellStyle name="Arial10" xfId="76"/>
    <cellStyle name="ÄÞ¸¶ [0]_±âÅ¸" xfId="77"/>
    <cellStyle name="AÞ¸¶ [0]_INQUIRY ¿?¾÷AßAø " xfId="78"/>
    <cellStyle name="ÄÞ¸¶_±âÅ¸" xfId="79"/>
    <cellStyle name="AÞ¸¶_INQUIRY ¿?¾÷AßAø " xfId="80"/>
    <cellStyle name="b1x" xfId="81"/>
    <cellStyle name="Black" xfId="82"/>
    <cellStyle name="Body" xfId="83"/>
    <cellStyle name="Border" xfId="84"/>
    <cellStyle name="C?AØ_¿?¾÷CoE² " xfId="85"/>
    <cellStyle name="Ç¥ÁØ_¿¬°£´©°è¿¹»ó" xfId="86"/>
    <cellStyle name="C￥AØ_¿μ¾÷CoE² " xfId="87"/>
    <cellStyle name="Ç¥ÁØ_Book1" xfId="88"/>
    <cellStyle name="Calc Currency (0)" xfId="89"/>
    <cellStyle name="category" xfId="90"/>
    <cellStyle name="ccl-tender" xfId="91"/>
    <cellStyle name="Comma  - Style1" xfId="93"/>
    <cellStyle name="Comma  - Style2" xfId="94"/>
    <cellStyle name="Comma  - Style3" xfId="95"/>
    <cellStyle name="Comma  - Style4" xfId="96"/>
    <cellStyle name="Comma  - Style5" xfId="97"/>
    <cellStyle name="Comma  - Style6" xfId="98"/>
    <cellStyle name="Comma  - Style7" xfId="99"/>
    <cellStyle name="Comma  - Style8" xfId="100"/>
    <cellStyle name="Comma 10" xfId="101"/>
    <cellStyle name="Comma 11" xfId="102"/>
    <cellStyle name="Comma 11 12" xfId="103"/>
    <cellStyle name="Comma 12" xfId="104"/>
    <cellStyle name="Comma 12 2" xfId="105"/>
    <cellStyle name="Comma 12 2 2" xfId="106"/>
    <cellStyle name="Comma 13" xfId="107"/>
    <cellStyle name="Comma 13 2" xfId="108"/>
    <cellStyle name="Comma 14" xfId="109"/>
    <cellStyle name="Comma 15" xfId="110"/>
    <cellStyle name="Comma 16" xfId="111"/>
    <cellStyle name="Comma 16 2" xfId="112"/>
    <cellStyle name="Comma 16 3" xfId="113"/>
    <cellStyle name="Comma 17" xfId="114"/>
    <cellStyle name="Comma 18" xfId="115"/>
    <cellStyle name="Comma 19" xfId="116"/>
    <cellStyle name="Comma 2" xfId="117"/>
    <cellStyle name="Comma 2 2" xfId="118"/>
    <cellStyle name="Comma 2 2 2" xfId="119"/>
    <cellStyle name="Comma 2 3" xfId="120"/>
    <cellStyle name="Comma 2 4" xfId="121"/>
    <cellStyle name="Comma 2_Area Statement" xfId="122"/>
    <cellStyle name="Comma 20" xfId="123"/>
    <cellStyle name="Comma 20 2" xfId="124"/>
    <cellStyle name="Comma 21" xfId="125"/>
    <cellStyle name="Comma 22" xfId="126"/>
    <cellStyle name="Comma 23" xfId="92"/>
    <cellStyle name="Comma 24" xfId="785"/>
    <cellStyle name="Comma 25" xfId="786"/>
    <cellStyle name="Comma 3" xfId="127"/>
    <cellStyle name="Comma 3 10" xfId="128"/>
    <cellStyle name="Comma 3 11" xfId="129"/>
    <cellStyle name="Comma 3 12" xfId="130"/>
    <cellStyle name="Comma 3 13" xfId="131"/>
    <cellStyle name="Comma 3 14" xfId="132"/>
    <cellStyle name="Comma 3 15" xfId="133"/>
    <cellStyle name="Comma 3 16" xfId="134"/>
    <cellStyle name="Comma 3 17" xfId="135"/>
    <cellStyle name="Comma 3 18" xfId="136"/>
    <cellStyle name="Comma 3 19" xfId="137"/>
    <cellStyle name="Comma 3 2" xfId="138"/>
    <cellStyle name="Comma 3 2 10" xfId="139"/>
    <cellStyle name="Comma 3 2 11" xfId="140"/>
    <cellStyle name="Comma 3 2 12" xfId="141"/>
    <cellStyle name="Comma 3 2 13" xfId="142"/>
    <cellStyle name="Comma 3 2 14" xfId="143"/>
    <cellStyle name="Comma 3 2 15" xfId="144"/>
    <cellStyle name="Comma 3 2 16" xfId="145"/>
    <cellStyle name="Comma 3 2 2" xfId="146"/>
    <cellStyle name="Comma 3 2 2 10" xfId="147"/>
    <cellStyle name="Comma 3 2 2 11" xfId="148"/>
    <cellStyle name="Comma 3 2 2 12" xfId="149"/>
    <cellStyle name="Comma 3 2 2 2" xfId="150"/>
    <cellStyle name="Comma 3 2 2 2 2" xfId="151"/>
    <cellStyle name="Comma 3 2 2 2 2 2" xfId="152"/>
    <cellStyle name="Comma 3 2 2 2 2 3" xfId="153"/>
    <cellStyle name="Comma 3 2 2 2 2 4" xfId="154"/>
    <cellStyle name="Comma 3 2 2 2 2 5" xfId="155"/>
    <cellStyle name="Comma 3 2 2 2 2 6" xfId="156"/>
    <cellStyle name="Comma 3 2 2 2 3" xfId="157"/>
    <cellStyle name="Comma 3 2 2 2 4" xfId="158"/>
    <cellStyle name="Comma 3 2 2 2 5" xfId="159"/>
    <cellStyle name="Comma 3 2 2 2 6" xfId="160"/>
    <cellStyle name="Comma 3 2 2 3" xfId="161"/>
    <cellStyle name="Comma 3 2 2 4" xfId="162"/>
    <cellStyle name="Comma 3 2 2 5" xfId="163"/>
    <cellStyle name="Comma 3 2 2 6" xfId="164"/>
    <cellStyle name="Comma 3 2 2 7" xfId="165"/>
    <cellStyle name="Comma 3 2 2 8" xfId="166"/>
    <cellStyle name="Comma 3 2 2 9" xfId="167"/>
    <cellStyle name="Comma 3 2 3" xfId="168"/>
    <cellStyle name="Comma 3 2 3 10" xfId="169"/>
    <cellStyle name="Comma 3 2 3 11" xfId="170"/>
    <cellStyle name="Comma 3 2 3 12" xfId="171"/>
    <cellStyle name="Comma 3 2 3 2" xfId="172"/>
    <cellStyle name="Comma 3 2 3 2 2" xfId="173"/>
    <cellStyle name="Comma 3 2 3 2 2 2" xfId="174"/>
    <cellStyle name="Comma 3 2 3 2 2 3" xfId="175"/>
    <cellStyle name="Comma 3 2 3 2 2 4" xfId="176"/>
    <cellStyle name="Comma 3 2 3 2 2 5" xfId="177"/>
    <cellStyle name="Comma 3 2 3 2 2 6" xfId="178"/>
    <cellStyle name="Comma 3 2 3 2 3" xfId="179"/>
    <cellStyle name="Comma 3 2 3 2 4" xfId="180"/>
    <cellStyle name="Comma 3 2 3 2 5" xfId="181"/>
    <cellStyle name="Comma 3 2 3 2 6" xfId="182"/>
    <cellStyle name="Comma 3 2 3 3" xfId="183"/>
    <cellStyle name="Comma 3 2 3 4" xfId="184"/>
    <cellStyle name="Comma 3 2 3 5" xfId="185"/>
    <cellStyle name="Comma 3 2 3 6" xfId="186"/>
    <cellStyle name="Comma 3 2 3 7" xfId="187"/>
    <cellStyle name="Comma 3 2 3 8" xfId="188"/>
    <cellStyle name="Comma 3 2 3 9" xfId="189"/>
    <cellStyle name="Comma 3 2 4" xfId="190"/>
    <cellStyle name="Comma 3 2 5" xfId="191"/>
    <cellStyle name="Comma 3 2 6" xfId="192"/>
    <cellStyle name="Comma 3 2 7" xfId="193"/>
    <cellStyle name="Comma 3 2 8" xfId="194"/>
    <cellStyle name="Comma 3 2 9" xfId="195"/>
    <cellStyle name="Comma 3 20" xfId="196"/>
    <cellStyle name="Comma 3 3" xfId="197"/>
    <cellStyle name="Comma 3 3 10" xfId="198"/>
    <cellStyle name="Comma 3 3 11" xfId="199"/>
    <cellStyle name="Comma 3 3 12" xfId="200"/>
    <cellStyle name="Comma 3 3 13" xfId="201"/>
    <cellStyle name="Comma 3 3 14" xfId="202"/>
    <cellStyle name="Comma 3 3 15" xfId="203"/>
    <cellStyle name="Comma 3 3 16" xfId="204"/>
    <cellStyle name="Comma 3 3 2" xfId="205"/>
    <cellStyle name="Comma 3 3 2 10" xfId="206"/>
    <cellStyle name="Comma 3 3 2 11" xfId="207"/>
    <cellStyle name="Comma 3 3 2 12" xfId="208"/>
    <cellStyle name="Comma 3 3 2 2" xfId="209"/>
    <cellStyle name="Comma 3 3 2 2 2" xfId="210"/>
    <cellStyle name="Comma 3 3 2 2 2 2" xfId="211"/>
    <cellStyle name="Comma 3 3 2 2 2 3" xfId="212"/>
    <cellStyle name="Comma 3 3 2 2 2 4" xfId="213"/>
    <cellStyle name="Comma 3 3 2 2 2 5" xfId="214"/>
    <cellStyle name="Comma 3 3 2 2 2 6" xfId="215"/>
    <cellStyle name="Comma 3 3 2 2 3" xfId="216"/>
    <cellStyle name="Comma 3 3 2 2 4" xfId="217"/>
    <cellStyle name="Comma 3 3 2 2 5" xfId="218"/>
    <cellStyle name="Comma 3 3 2 2 6" xfId="219"/>
    <cellStyle name="Comma 3 3 2 3" xfId="220"/>
    <cellStyle name="Comma 3 3 2 4" xfId="221"/>
    <cellStyle name="Comma 3 3 2 5" xfId="222"/>
    <cellStyle name="Comma 3 3 2 6" xfId="223"/>
    <cellStyle name="Comma 3 3 2 7" xfId="224"/>
    <cellStyle name="Comma 3 3 2 8" xfId="225"/>
    <cellStyle name="Comma 3 3 2 9" xfId="226"/>
    <cellStyle name="Comma 3 3 3" xfId="227"/>
    <cellStyle name="Comma 3 3 3 10" xfId="228"/>
    <cellStyle name="Comma 3 3 3 11" xfId="229"/>
    <cellStyle name="Comma 3 3 3 12" xfId="230"/>
    <cellStyle name="Comma 3 3 3 2" xfId="231"/>
    <cellStyle name="Comma 3 3 3 2 2" xfId="232"/>
    <cellStyle name="Comma 3 3 3 2 2 2" xfId="233"/>
    <cellStyle name="Comma 3 3 3 2 2 3" xfId="234"/>
    <cellStyle name="Comma 3 3 3 2 2 4" xfId="235"/>
    <cellStyle name="Comma 3 3 3 2 2 5" xfId="236"/>
    <cellStyle name="Comma 3 3 3 2 2 6" xfId="237"/>
    <cellStyle name="Comma 3 3 3 2 3" xfId="238"/>
    <cellStyle name="Comma 3 3 3 2 4" xfId="239"/>
    <cellStyle name="Comma 3 3 3 2 5" xfId="240"/>
    <cellStyle name="Comma 3 3 3 2 6" xfId="241"/>
    <cellStyle name="Comma 3 3 3 3" xfId="242"/>
    <cellStyle name="Comma 3 3 3 4" xfId="243"/>
    <cellStyle name="Comma 3 3 3 5" xfId="244"/>
    <cellStyle name="Comma 3 3 3 6" xfId="245"/>
    <cellStyle name="Comma 3 3 3 7" xfId="246"/>
    <cellStyle name="Comma 3 3 3 8" xfId="247"/>
    <cellStyle name="Comma 3 3 3 9" xfId="248"/>
    <cellStyle name="Comma 3 3 4" xfId="249"/>
    <cellStyle name="Comma 3 3 5" xfId="250"/>
    <cellStyle name="Comma 3 3 6" xfId="251"/>
    <cellStyle name="Comma 3 3 7" xfId="252"/>
    <cellStyle name="Comma 3 3 8" xfId="253"/>
    <cellStyle name="Comma 3 3 9" xfId="254"/>
    <cellStyle name="Comma 3 4" xfId="255"/>
    <cellStyle name="Comma 3 4 10" xfId="256"/>
    <cellStyle name="Comma 3 4 11" xfId="257"/>
    <cellStyle name="Comma 3 4 12" xfId="258"/>
    <cellStyle name="Comma 3 4 13" xfId="259"/>
    <cellStyle name="Comma 3 4 14" xfId="260"/>
    <cellStyle name="Comma 3 4 15" xfId="261"/>
    <cellStyle name="Comma 3 4 16" xfId="262"/>
    <cellStyle name="Comma 3 4 2" xfId="263"/>
    <cellStyle name="Comma 3 4 2 10" xfId="264"/>
    <cellStyle name="Comma 3 4 2 11" xfId="265"/>
    <cellStyle name="Comma 3 4 2 12" xfId="266"/>
    <cellStyle name="Comma 3 4 2 2" xfId="267"/>
    <cellStyle name="Comma 3 4 2 2 2" xfId="268"/>
    <cellStyle name="Comma 3 4 2 2 2 2" xfId="269"/>
    <cellStyle name="Comma 3 4 2 2 2 3" xfId="270"/>
    <cellStyle name="Comma 3 4 2 2 2 4" xfId="271"/>
    <cellStyle name="Comma 3 4 2 2 2 5" xfId="272"/>
    <cellStyle name="Comma 3 4 2 2 2 6" xfId="273"/>
    <cellStyle name="Comma 3 4 2 2 3" xfId="274"/>
    <cellStyle name="Comma 3 4 2 2 4" xfId="275"/>
    <cellStyle name="Comma 3 4 2 2 5" xfId="276"/>
    <cellStyle name="Comma 3 4 2 2 6" xfId="277"/>
    <cellStyle name="Comma 3 4 2 3" xfId="278"/>
    <cellStyle name="Comma 3 4 2 4" xfId="279"/>
    <cellStyle name="Comma 3 4 2 5" xfId="280"/>
    <cellStyle name="Comma 3 4 2 6" xfId="281"/>
    <cellStyle name="Comma 3 4 2 7" xfId="282"/>
    <cellStyle name="Comma 3 4 2 8" xfId="283"/>
    <cellStyle name="Comma 3 4 2 9" xfId="284"/>
    <cellStyle name="Comma 3 4 3" xfId="285"/>
    <cellStyle name="Comma 3 4 3 10" xfId="286"/>
    <cellStyle name="Comma 3 4 3 11" xfId="287"/>
    <cellStyle name="Comma 3 4 3 12" xfId="288"/>
    <cellStyle name="Comma 3 4 3 2" xfId="289"/>
    <cellStyle name="Comma 3 4 3 2 2" xfId="290"/>
    <cellStyle name="Comma 3 4 3 2 2 2" xfId="291"/>
    <cellStyle name="Comma 3 4 3 2 2 3" xfId="292"/>
    <cellStyle name="Comma 3 4 3 2 2 4" xfId="293"/>
    <cellStyle name="Comma 3 4 3 2 2 5" xfId="294"/>
    <cellStyle name="Comma 3 4 3 2 2 6" xfId="295"/>
    <cellStyle name="Comma 3 4 3 2 3" xfId="296"/>
    <cellStyle name="Comma 3 4 3 2 4" xfId="297"/>
    <cellStyle name="Comma 3 4 3 2 5" xfId="298"/>
    <cellStyle name="Comma 3 4 3 2 6" xfId="299"/>
    <cellStyle name="Comma 3 4 3 3" xfId="300"/>
    <cellStyle name="Comma 3 4 3 4" xfId="301"/>
    <cellStyle name="Comma 3 4 3 5" xfId="302"/>
    <cellStyle name="Comma 3 4 3 6" xfId="303"/>
    <cellStyle name="Comma 3 4 3 7" xfId="304"/>
    <cellStyle name="Comma 3 4 3 8" xfId="305"/>
    <cellStyle name="Comma 3 4 3 9" xfId="306"/>
    <cellStyle name="Comma 3 4 4" xfId="307"/>
    <cellStyle name="Comma 3 4 5" xfId="308"/>
    <cellStyle name="Comma 3 4 6" xfId="309"/>
    <cellStyle name="Comma 3 4 7" xfId="310"/>
    <cellStyle name="Comma 3 4 8" xfId="311"/>
    <cellStyle name="Comma 3 4 9" xfId="312"/>
    <cellStyle name="Comma 3 5" xfId="313"/>
    <cellStyle name="Comma 3 5 10" xfId="314"/>
    <cellStyle name="Comma 3 5 11" xfId="315"/>
    <cellStyle name="Comma 3 5 12" xfId="316"/>
    <cellStyle name="Comma 3 5 2" xfId="317"/>
    <cellStyle name="Comma 3 5 2 2" xfId="318"/>
    <cellStyle name="Comma 3 5 2 2 2" xfId="319"/>
    <cellStyle name="Comma 3 5 2 2 3" xfId="320"/>
    <cellStyle name="Comma 3 5 2 2 4" xfId="321"/>
    <cellStyle name="Comma 3 5 2 2 5" xfId="322"/>
    <cellStyle name="Comma 3 5 2 2 6" xfId="323"/>
    <cellStyle name="Comma 3 5 2 3" xfId="324"/>
    <cellStyle name="Comma 3 5 2 4" xfId="325"/>
    <cellStyle name="Comma 3 5 2 5" xfId="326"/>
    <cellStyle name="Comma 3 5 2 6" xfId="327"/>
    <cellStyle name="Comma 3 5 3" xfId="328"/>
    <cellStyle name="Comma 3 5 4" xfId="329"/>
    <cellStyle name="Comma 3 5 5" xfId="330"/>
    <cellStyle name="Comma 3 5 6" xfId="331"/>
    <cellStyle name="Comma 3 5 7" xfId="332"/>
    <cellStyle name="Comma 3 5 8" xfId="333"/>
    <cellStyle name="Comma 3 5 9" xfId="334"/>
    <cellStyle name="Comma 3 6" xfId="335"/>
    <cellStyle name="Comma 3 6 10" xfId="336"/>
    <cellStyle name="Comma 3 6 11" xfId="337"/>
    <cellStyle name="Comma 3 6 12" xfId="338"/>
    <cellStyle name="Comma 3 6 2" xfId="339"/>
    <cellStyle name="Comma 3 6 2 2" xfId="340"/>
    <cellStyle name="Comma 3 6 2 2 2" xfId="341"/>
    <cellStyle name="Comma 3 6 2 2 3" xfId="342"/>
    <cellStyle name="Comma 3 6 2 2 4" xfId="343"/>
    <cellStyle name="Comma 3 6 2 2 5" xfId="344"/>
    <cellStyle name="Comma 3 6 2 2 6" xfId="345"/>
    <cellStyle name="Comma 3 6 2 3" xfId="346"/>
    <cellStyle name="Comma 3 6 2 4" xfId="347"/>
    <cellStyle name="Comma 3 6 2 5" xfId="348"/>
    <cellStyle name="Comma 3 6 2 6" xfId="349"/>
    <cellStyle name="Comma 3 6 3" xfId="350"/>
    <cellStyle name="Comma 3 6 4" xfId="351"/>
    <cellStyle name="Comma 3 6 5" xfId="352"/>
    <cellStyle name="Comma 3 6 6" xfId="353"/>
    <cellStyle name="Comma 3 6 7" xfId="354"/>
    <cellStyle name="Comma 3 6 8" xfId="355"/>
    <cellStyle name="Comma 3 6 9" xfId="356"/>
    <cellStyle name="Comma 3 7" xfId="357"/>
    <cellStyle name="Comma 3 8" xfId="358"/>
    <cellStyle name="Comma 3 9" xfId="359"/>
    <cellStyle name="Comma 4" xfId="360"/>
    <cellStyle name="Comma 4 2" xfId="361"/>
    <cellStyle name="Comma 4 2 2" xfId="362"/>
    <cellStyle name="Comma 5" xfId="363"/>
    <cellStyle name="Comma 5 2" xfId="364"/>
    <cellStyle name="Comma 5 3" xfId="365"/>
    <cellStyle name="Comma 5 4" xfId="366"/>
    <cellStyle name="Comma 6" xfId="367"/>
    <cellStyle name="Comma 6 2" xfId="368"/>
    <cellStyle name="Comma 7" xfId="369"/>
    <cellStyle name="Comma 7 2" xfId="370"/>
    <cellStyle name="Comma 7 3" xfId="371"/>
    <cellStyle name="Comma 8" xfId="372"/>
    <cellStyle name="Comma 8 2" xfId="373"/>
    <cellStyle name="Comma 9" xfId="374"/>
    <cellStyle name="Comma 9 2" xfId="375"/>
    <cellStyle name="Comma 9 3" xfId="376"/>
    <cellStyle name="Comma 9 4" xfId="377"/>
    <cellStyle name="Comma 9 5" xfId="378"/>
    <cellStyle name="Comma 9 6" xfId="379"/>
    <cellStyle name="Comma0" xfId="380"/>
    <cellStyle name="Copied" xfId="381"/>
    <cellStyle name="COURIER" xfId="382"/>
    <cellStyle name="CSI" xfId="383"/>
    <cellStyle name="Currency $" xfId="384"/>
    <cellStyle name="Currency 2" xfId="385"/>
    <cellStyle name="Currency 2 10" xfId="386"/>
    <cellStyle name="Currency 2 11" xfId="387"/>
    <cellStyle name="Currency 2 12" xfId="388"/>
    <cellStyle name="Currency 2 13" xfId="389"/>
    <cellStyle name="Currency 2 14" xfId="390"/>
    <cellStyle name="Currency 2 15" xfId="391"/>
    <cellStyle name="Currency 2 2" xfId="392"/>
    <cellStyle name="Currency 2 3" xfId="393"/>
    <cellStyle name="Currency 2 4" xfId="394"/>
    <cellStyle name="Currency 2 5" xfId="395"/>
    <cellStyle name="Currency 2 6" xfId="396"/>
    <cellStyle name="Currency 2 7" xfId="397"/>
    <cellStyle name="Currency 2 8" xfId="398"/>
    <cellStyle name="Currency 2 9" xfId="399"/>
    <cellStyle name="Currency0" xfId="400"/>
    <cellStyle name="Custom - Style8" xfId="401"/>
    <cellStyle name="Data   - Style2" xfId="402"/>
    <cellStyle name="Date" xfId="403"/>
    <cellStyle name="Description" xfId="404"/>
    <cellStyle name="Dezimal [0]_laroux" xfId="405"/>
    <cellStyle name="Dezimal_laroux" xfId="406"/>
    <cellStyle name="Entered" xfId="407"/>
    <cellStyle name="Euro" xfId="408"/>
    <cellStyle name="Excel Built-in Normal" xfId="409"/>
    <cellStyle name="Excel Built-in Normal 1" xfId="410"/>
    <cellStyle name="F2" xfId="411"/>
    <cellStyle name="F3" xfId="412"/>
    <cellStyle name="F4" xfId="413"/>
    <cellStyle name="F5" xfId="414"/>
    <cellStyle name="F6" xfId="415"/>
    <cellStyle name="F7" xfId="416"/>
    <cellStyle name="F8" xfId="417"/>
    <cellStyle name="Fixed" xfId="418"/>
    <cellStyle name="Foottitle" xfId="419"/>
    <cellStyle name="FORM" xfId="420"/>
    <cellStyle name="Formula" xfId="421"/>
    <cellStyle name="Grey" xfId="422"/>
    <cellStyle name="Grey 2" xfId="423"/>
    <cellStyle name="header" xfId="424"/>
    <cellStyle name="Header1" xfId="425"/>
    <cellStyle name="Header2" xfId="426"/>
    <cellStyle name="Heading 1 2" xfId="2"/>
    <cellStyle name="Heading1" xfId="427"/>
    <cellStyle name="Heading1 1" xfId="428"/>
    <cellStyle name="Heading1_Analy.Work1" xfId="429"/>
    <cellStyle name="Heading2" xfId="430"/>
    <cellStyle name="Hyperlink 2" xfId="431"/>
    <cellStyle name="Hypertextový odkaz" xfId="432"/>
    <cellStyle name="INCHES" xfId="433"/>
    <cellStyle name="Input [yellow]" xfId="434"/>
    <cellStyle name="Input [yellow] 2" xfId="435"/>
    <cellStyle name="k" xfId="436"/>
    <cellStyle name="L" xfId="437"/>
    <cellStyle name="L_Blank formats annexures -  Cost plus" xfId="438"/>
    <cellStyle name="L_BOQ" xfId="439"/>
    <cellStyle name="L_Copy of Costing" xfId="440"/>
    <cellStyle name="L_Copy of Costing_Gurgaon 1 _29.07.04 _ MDS" xfId="441"/>
    <cellStyle name="L_Costing - ITC Main Revised Qty- 11.01_ ITC Main" xfId="442"/>
    <cellStyle name="L_Costing - MBD Books-20.12" xfId="443"/>
    <cellStyle name="L_Costing_Birla Sugar_9.4.05" xfId="444"/>
    <cellStyle name="L_Costing_District Court" xfId="445"/>
    <cellStyle name="L_Costing_Hero Honda_Haridwar" xfId="446"/>
    <cellStyle name="L_Costing_Indian Chancery_4.06.06" xfId="447"/>
    <cellStyle name="L_Costing_Inst. Bld-Emirates Group-Noida-13.06.06" xfId="448"/>
    <cellStyle name="L_Costing_Nicholas_21.12.04" xfId="449"/>
    <cellStyle name="L_DLF Agrrement _ Formats _10A" xfId="450"/>
    <cellStyle name="L_DLF Cyber Tower _02.06.05 l" xfId="451"/>
    <cellStyle name="L_form" xfId="452"/>
    <cellStyle name="L_Major quantities _Inst. Bld-Emirates Group-Noida" xfId="453"/>
    <cellStyle name="L_Major quantities_Hero Honda_Haridwar" xfId="454"/>
    <cellStyle name="L_medicity_26.09.05 _ MDS" xfId="455"/>
    <cellStyle name="L_RATE ANALYSIS_Sample" xfId="456"/>
    <cellStyle name="L_Sheet1" xfId="457"/>
    <cellStyle name="L_Submitted_27.10.05" xfId="458"/>
    <cellStyle name="L_Working_Submitted" xfId="459"/>
    <cellStyle name="Labels - Style3" xfId="460"/>
    <cellStyle name="Length" xfId="461"/>
    <cellStyle name="M" xfId="462"/>
    <cellStyle name="M_Blank formats annexures -  Cost plus" xfId="463"/>
    <cellStyle name="M_BOQ" xfId="464"/>
    <cellStyle name="M_Copy of Costing" xfId="465"/>
    <cellStyle name="M_Copy of Costing_Gurgaon 1 _29.07.04 _ MDS" xfId="466"/>
    <cellStyle name="M_Costing - ITC Main Revised Qty- 11.01_ ITC Main" xfId="467"/>
    <cellStyle name="M_Costing - MBD Books-20.12" xfId="468"/>
    <cellStyle name="M_Costing_Birla Sugar_9.4.05" xfId="469"/>
    <cellStyle name="M_Costing_District Court" xfId="470"/>
    <cellStyle name="M_Costing_Hero Honda_Haridwar" xfId="471"/>
    <cellStyle name="M_Costing_Indian Chancery_4.06.06" xfId="472"/>
    <cellStyle name="M_Costing_Inst. Bld-Emirates Group-Noida-13.06.06" xfId="473"/>
    <cellStyle name="M_Costing_Nicholas_21.12.04" xfId="474"/>
    <cellStyle name="M_DLF Agrrement _ Formats _10A" xfId="475"/>
    <cellStyle name="M_DLF Cyber Tower _02.06.05 l" xfId="476"/>
    <cellStyle name="M_form" xfId="477"/>
    <cellStyle name="M_Major quantities _Inst. Bld-Emirates Group-Noida" xfId="478"/>
    <cellStyle name="M_Major quantities_Hero Honda_Haridwar" xfId="479"/>
    <cellStyle name="M_medicity_26.09.05 _ MDS" xfId="480"/>
    <cellStyle name="M_RATE ANALYSIS_Sample" xfId="481"/>
    <cellStyle name="M_Sheet1" xfId="482"/>
    <cellStyle name="M_Submitted_27.10.05" xfId="483"/>
    <cellStyle name="M_Working_Submitted" xfId="484"/>
    <cellStyle name="M-0" xfId="485"/>
    <cellStyle name="MainDescription" xfId="486"/>
    <cellStyle name="Measure" xfId="487"/>
    <cellStyle name="Migliaia (0)_laroux" xfId="488"/>
    <cellStyle name="Migliaia_laroux" xfId="489"/>
    <cellStyle name="Milliers [0]_laroux" xfId="490"/>
    <cellStyle name="Milliers_laroux" xfId="491"/>
    <cellStyle name="m-o" xfId="492"/>
    <cellStyle name="Model" xfId="493"/>
    <cellStyle name="Monétaire [0]_laroux" xfId="494"/>
    <cellStyle name="Monétaire_laroux" xfId="495"/>
    <cellStyle name="n" xfId="496"/>
    <cellStyle name="no dec" xfId="497"/>
    <cellStyle name="Non défini" xfId="498"/>
    <cellStyle name="Normal" xfId="0" builtinId="0"/>
    <cellStyle name="Normal - Style1" xfId="499"/>
    <cellStyle name="Normal 10" xfId="500"/>
    <cellStyle name="Normal 10 2" xfId="501"/>
    <cellStyle name="Normal 10 2 2" xfId="502"/>
    <cellStyle name="Normal 11" xfId="503"/>
    <cellStyle name="Normal 11 2" xfId="504"/>
    <cellStyle name="Normal 12" xfId="505"/>
    <cellStyle name="Normal 12 2" xfId="506"/>
    <cellStyle name="Normal 13" xfId="507"/>
    <cellStyle name="Normal 13 2" xfId="508"/>
    <cellStyle name="Normal 14" xfId="509"/>
    <cellStyle name="Normal 14 2" xfId="510"/>
    <cellStyle name="Normal 15" xfId="511"/>
    <cellStyle name="Normal 15 10" xfId="512"/>
    <cellStyle name="Normal 15 11" xfId="513"/>
    <cellStyle name="Normal 15 12" xfId="514"/>
    <cellStyle name="Normal 15 2" xfId="515"/>
    <cellStyle name="Normal 15 3" xfId="516"/>
    <cellStyle name="Normal 15 4" xfId="517"/>
    <cellStyle name="Normal 15 5" xfId="518"/>
    <cellStyle name="Normal 15 6" xfId="519"/>
    <cellStyle name="Normal 15 7" xfId="520"/>
    <cellStyle name="Normal 15 8" xfId="521"/>
    <cellStyle name="Normal 15 9" xfId="522"/>
    <cellStyle name="Normal 16" xfId="523"/>
    <cellStyle name="Normal 16 2" xfId="524"/>
    <cellStyle name="Normal 17" xfId="525"/>
    <cellStyle name="Normal 17 2" xfId="526"/>
    <cellStyle name="Normal 18" xfId="527"/>
    <cellStyle name="Normal 19" xfId="6"/>
    <cellStyle name="Normal 2" xfId="1"/>
    <cellStyle name="Normal 2 13" xfId="529"/>
    <cellStyle name="Normal 2 2" xfId="530"/>
    <cellStyle name="Normal 2 2 2" xfId="531"/>
    <cellStyle name="Normal 2 2 3" xfId="532"/>
    <cellStyle name="Normal 2 2_Water Proofing" xfId="533"/>
    <cellStyle name="Normal 2 3" xfId="534"/>
    <cellStyle name="Normal 2 3 2" xfId="535"/>
    <cellStyle name="Normal 2 3 3" xfId="536"/>
    <cellStyle name="Normal 2 4" xfId="537"/>
    <cellStyle name="Normal 2 5" xfId="538"/>
    <cellStyle name="Normal 2 6" xfId="528"/>
    <cellStyle name="Normal 2_BM-03 steel" xfId="539"/>
    <cellStyle name="Normal 20" xfId="540"/>
    <cellStyle name="Normal 21" xfId="783"/>
    <cellStyle name="Normal 22" xfId="788"/>
    <cellStyle name="Normal 23 2" xfId="541"/>
    <cellStyle name="Normal 3" xfId="3"/>
    <cellStyle name="Normal 3 10" xfId="543"/>
    <cellStyle name="Normal 3 11" xfId="544"/>
    <cellStyle name="Normal 3 12" xfId="545"/>
    <cellStyle name="Normal 3 12 10" xfId="546"/>
    <cellStyle name="Normal 3 12 11" xfId="547"/>
    <cellStyle name="Normal 3 12 12" xfId="548"/>
    <cellStyle name="Normal 3 12 2" xfId="549"/>
    <cellStyle name="Normal 3 12 2 2" xfId="550"/>
    <cellStyle name="Normal 3 12 2 2 2" xfId="551"/>
    <cellStyle name="Normal 3 12 2 2 3" xfId="552"/>
    <cellStyle name="Normal 3 12 2 2 4" xfId="553"/>
    <cellStyle name="Normal 3 12 2 2 5" xfId="554"/>
    <cellStyle name="Normal 3 12 2 2 6" xfId="555"/>
    <cellStyle name="Normal 3 12 2 3" xfId="556"/>
    <cellStyle name="Normal 3 12 2 4" xfId="557"/>
    <cellStyle name="Normal 3 12 2 5" xfId="558"/>
    <cellStyle name="Normal 3 12 2 6" xfId="559"/>
    <cellStyle name="Normal 3 12 3" xfId="560"/>
    <cellStyle name="Normal 3 12 4" xfId="561"/>
    <cellStyle name="Normal 3 12 5" xfId="562"/>
    <cellStyle name="Normal 3 12 6" xfId="563"/>
    <cellStyle name="Normal 3 12 7" xfId="564"/>
    <cellStyle name="Normal 3 12 8" xfId="565"/>
    <cellStyle name="Normal 3 12 9" xfId="566"/>
    <cellStyle name="Normal 3 13" xfId="567"/>
    <cellStyle name="Normal 3 14" xfId="568"/>
    <cellStyle name="Normal 3 15" xfId="569"/>
    <cellStyle name="Normal 3 15 2" xfId="570"/>
    <cellStyle name="Normal 3 15 2 2" xfId="571"/>
    <cellStyle name="Normal 3 15 2 3" xfId="572"/>
    <cellStyle name="Normal 3 15 2 4" xfId="573"/>
    <cellStyle name="Normal 3 15 2 5" xfId="574"/>
    <cellStyle name="Normal 3 15 2 6" xfId="575"/>
    <cellStyle name="Normal 3 15 3" xfId="576"/>
    <cellStyle name="Normal 3 15 4" xfId="577"/>
    <cellStyle name="Normal 3 15 5" xfId="578"/>
    <cellStyle name="Normal 3 15 6" xfId="579"/>
    <cellStyle name="Normal 3 16" xfId="580"/>
    <cellStyle name="Normal 3 17" xfId="581"/>
    <cellStyle name="Normal 3 18" xfId="582"/>
    <cellStyle name="Normal 3 19" xfId="583"/>
    <cellStyle name="Normal 3 2" xfId="4"/>
    <cellStyle name="Normal 3 2 10" xfId="585"/>
    <cellStyle name="Normal 3 2 10 2" xfId="586"/>
    <cellStyle name="Normal 3 2 10 2 2" xfId="587"/>
    <cellStyle name="Normal 3 2 10 2 3" xfId="588"/>
    <cellStyle name="Normal 3 2 10 2 4" xfId="589"/>
    <cellStyle name="Normal 3 2 10 2 5" xfId="590"/>
    <cellStyle name="Normal 3 2 10 2 6" xfId="591"/>
    <cellStyle name="Normal 3 2 10 3" xfId="592"/>
    <cellStyle name="Normal 3 2 10 4" xfId="593"/>
    <cellStyle name="Normal 3 2 10 5" xfId="594"/>
    <cellStyle name="Normal 3 2 10 6" xfId="595"/>
    <cellStyle name="Normal 3 2 11" xfId="596"/>
    <cellStyle name="Normal 3 2 12" xfId="597"/>
    <cellStyle name="Normal 3 2 13" xfId="598"/>
    <cellStyle name="Normal 3 2 14" xfId="599"/>
    <cellStyle name="Normal 3 2 15" xfId="600"/>
    <cellStyle name="Normal 3 2 16" xfId="601"/>
    <cellStyle name="Normal 3 2 17" xfId="602"/>
    <cellStyle name="Normal 3 2 18" xfId="603"/>
    <cellStyle name="Normal 3 2 19" xfId="604"/>
    <cellStyle name="Normal 3 2 2" xfId="5"/>
    <cellStyle name="Normal 3 2 2 10" xfId="606"/>
    <cellStyle name="Normal 3 2 2 11" xfId="607"/>
    <cellStyle name="Normal 3 2 2 12" xfId="608"/>
    <cellStyle name="Normal 3 2 2 13" xfId="609"/>
    <cellStyle name="Normal 3 2 2 14" xfId="605"/>
    <cellStyle name="Normal 3 2 2 2" xfId="610"/>
    <cellStyle name="Normal 3 2 2 2 2" xfId="611"/>
    <cellStyle name="Normal 3 2 2 2 2 2" xfId="612"/>
    <cellStyle name="Normal 3 2 2 2 2 2 2" xfId="613"/>
    <cellStyle name="Normal 3 2 2 2 2 3" xfId="614"/>
    <cellStyle name="Normal 3 2 2 2 2 4" xfId="615"/>
    <cellStyle name="Normal 3 2 2 2 2 5" xfId="616"/>
    <cellStyle name="Normal 3 2 2 2 2 6" xfId="617"/>
    <cellStyle name="Normal 3 2 2 2 3" xfId="618"/>
    <cellStyle name="Normal 3 2 2 2 4" xfId="619"/>
    <cellStyle name="Normal 3 2 2 2 5" xfId="620"/>
    <cellStyle name="Normal 3 2 2 2 6" xfId="621"/>
    <cellStyle name="Normal 3 2 2 3" xfId="622"/>
    <cellStyle name="Normal 3 2 2 4" xfId="623"/>
    <cellStyle name="Normal 3 2 2 5" xfId="624"/>
    <cellStyle name="Normal 3 2 2 6" xfId="625"/>
    <cellStyle name="Normal 3 2 2 7" xfId="626"/>
    <cellStyle name="Normal 3 2 2 8" xfId="627"/>
    <cellStyle name="Normal 3 2 2 9" xfId="628"/>
    <cellStyle name="Normal 3 2 20" xfId="629"/>
    <cellStyle name="Normal 3 2 21" xfId="584"/>
    <cellStyle name="Normal 3 2 3" xfId="630"/>
    <cellStyle name="Normal 3 2 4" xfId="631"/>
    <cellStyle name="Normal 3 2 5" xfId="632"/>
    <cellStyle name="Normal 3 2 6" xfId="633"/>
    <cellStyle name="Normal 3 2 7" xfId="634"/>
    <cellStyle name="Normal 3 2 8" xfId="635"/>
    <cellStyle name="Normal 3 2 9" xfId="636"/>
    <cellStyle name="Normal 3 2_Water Proofing" xfId="637"/>
    <cellStyle name="Normal 3 20" xfId="638"/>
    <cellStyle name="Normal 3 21" xfId="639"/>
    <cellStyle name="Normal 3 22" xfId="640"/>
    <cellStyle name="Normal 3 23" xfId="641"/>
    <cellStyle name="Normal 3 24" xfId="642"/>
    <cellStyle name="Normal 3 25" xfId="643"/>
    <cellStyle name="Normal 3 26" xfId="644"/>
    <cellStyle name="Normal 3 27" xfId="645"/>
    <cellStyle name="Normal 3 28" xfId="542"/>
    <cellStyle name="Normal 3 3" xfId="646"/>
    <cellStyle name="Normal 3 4" xfId="647"/>
    <cellStyle name="Normal 3 5" xfId="648"/>
    <cellStyle name="Normal 3 5 10" xfId="649"/>
    <cellStyle name="Normal 3 5 11" xfId="650"/>
    <cellStyle name="Normal 3 5 12" xfId="651"/>
    <cellStyle name="Normal 3 5 13" xfId="652"/>
    <cellStyle name="Normal 3 5 2" xfId="653"/>
    <cellStyle name="Normal 3 5 2 2" xfId="654"/>
    <cellStyle name="Normal 3 5 2 2 2" xfId="655"/>
    <cellStyle name="Normal 3 5 2 2 3" xfId="656"/>
    <cellStyle name="Normal 3 5 2 2 4" xfId="657"/>
    <cellStyle name="Normal 3 5 2 2 5" xfId="658"/>
    <cellStyle name="Normal 3 5 2 2 6" xfId="659"/>
    <cellStyle name="Normal 3 5 2 3" xfId="660"/>
    <cellStyle name="Normal 3 5 2 4" xfId="661"/>
    <cellStyle name="Normal 3 5 2 5" xfId="662"/>
    <cellStyle name="Normal 3 5 2 6" xfId="663"/>
    <cellStyle name="Normal 3 5 3" xfId="664"/>
    <cellStyle name="Normal 3 5 4" xfId="665"/>
    <cellStyle name="Normal 3 5 5" xfId="666"/>
    <cellStyle name="Normal 3 5 6" xfId="667"/>
    <cellStyle name="Normal 3 5 7" xfId="668"/>
    <cellStyle name="Normal 3 5 8" xfId="669"/>
    <cellStyle name="Normal 3 5 9" xfId="670"/>
    <cellStyle name="Normal 3 6" xfId="671"/>
    <cellStyle name="Normal 3 7" xfId="672"/>
    <cellStyle name="Normal 3 8" xfId="673"/>
    <cellStyle name="Normal 3 9" xfId="674"/>
    <cellStyle name="Normal 3_BM-03 steel" xfId="675"/>
    <cellStyle name="Normal 4" xfId="676"/>
    <cellStyle name="Normal 4 2" xfId="677"/>
    <cellStyle name="Normal 4 2 2" xfId="678"/>
    <cellStyle name="Normal 4 2 3" xfId="679"/>
    <cellStyle name="Normal 4 3" xfId="680"/>
    <cellStyle name="Normal 4 4" xfId="681"/>
    <cellStyle name="Normal 4 5" xfId="682"/>
    <cellStyle name="Normal 4 6" xfId="683"/>
    <cellStyle name="Normal 4_Water Proofing" xfId="684"/>
    <cellStyle name="Normal 5" xfId="685"/>
    <cellStyle name="Normal 5 2" xfId="686"/>
    <cellStyle name="Normal 5 3" xfId="687"/>
    <cellStyle name="Normal 5 4" xfId="688"/>
    <cellStyle name="Normal 6" xfId="689"/>
    <cellStyle name="Normal 6 2" xfId="690"/>
    <cellStyle name="Normal 6 2 2" xfId="691"/>
    <cellStyle name="Normal 6 2 3" xfId="692"/>
    <cellStyle name="Normal 6 3" xfId="693"/>
    <cellStyle name="Normal 6 4" xfId="694"/>
    <cellStyle name="Normal 6 5" xfId="695"/>
    <cellStyle name="Normal 6 6" xfId="696"/>
    <cellStyle name="Normal 7" xfId="697"/>
    <cellStyle name="Normal 7 2" xfId="698"/>
    <cellStyle name="Normal 8" xfId="699"/>
    <cellStyle name="Normal 8 2" xfId="700"/>
    <cellStyle name="Normal 9" xfId="701"/>
    <cellStyle name="Normal 9 2" xfId="702"/>
    <cellStyle name="Normale_laroux" xfId="703"/>
    <cellStyle name="Nr" xfId="704"/>
    <cellStyle name="Percent [2]" xfId="706"/>
    <cellStyle name="Percent [2] 2" xfId="707"/>
    <cellStyle name="Percent 2" xfId="708"/>
    <cellStyle name="Percent 2 2" xfId="709"/>
    <cellStyle name="Percent 3" xfId="710"/>
    <cellStyle name="Percent 4" xfId="705"/>
    <cellStyle name="Percent 5" xfId="711"/>
    <cellStyle name="Percent 6" xfId="787"/>
    <cellStyle name="Percent 7" xfId="784"/>
    <cellStyle name="Popis" xfId="712"/>
    <cellStyle name="Rate" xfId="713"/>
    <cellStyle name="RateBold" xfId="714"/>
    <cellStyle name="Red" xfId="715"/>
    <cellStyle name="Reset  - Style7" xfId="716"/>
    <cellStyle name="RevList" xfId="717"/>
    <cellStyle name="Section Title" xfId="718"/>
    <cellStyle name="Sledovaný hypertextový odkaz" xfId="719"/>
    <cellStyle name="Standard_aktuell" xfId="720"/>
    <cellStyle name="STYL1 - Style1" xfId="721"/>
    <cellStyle name="Style 1" xfId="722"/>
    <cellStyle name="Style 1 2" xfId="723"/>
    <cellStyle name="SubDescription" xfId="724"/>
    <cellStyle name="subhead" xfId="725"/>
    <cellStyle name="Subtitle" xfId="726"/>
    <cellStyle name="Subtotal" xfId="727"/>
    <cellStyle name="Subtotal 2" xfId="728"/>
    <cellStyle name="sum" xfId="729"/>
    <cellStyle name="sum8" xfId="730"/>
    <cellStyle name="Summary_back" xfId="731"/>
    <cellStyle name="Table  - Style6" xfId="732"/>
    <cellStyle name="Times New Roman" xfId="733"/>
    <cellStyle name="Title  - Style1" xfId="734"/>
    <cellStyle name="Title Row" xfId="735"/>
    <cellStyle name="totalbold" xfId="736"/>
    <cellStyle name="TotCol - Style5" xfId="737"/>
    <cellStyle name="TotRow - Style4" xfId="738"/>
    <cellStyle name="Trial" xfId="739"/>
    <cellStyle name="Tusental (0)_pldt" xfId="740"/>
    <cellStyle name="Tusental_pldt" xfId="741"/>
    <cellStyle name="uni" xfId="742"/>
    <cellStyle name="Unit" xfId="743"/>
    <cellStyle name="v" xfId="744"/>
    <cellStyle name="v_Blank formats annexures -  Cost plus" xfId="745"/>
    <cellStyle name="v_Costing - ITC Main Revised Qty- 11.01_ ITC Main" xfId="746"/>
    <cellStyle name="v_Costing - MBD Books-20.12" xfId="747"/>
    <cellStyle name="v_Costing - RIL" xfId="748"/>
    <cellStyle name="v_Costing _TATA MOTORS 06.03" xfId="749"/>
    <cellStyle name="v_Costing -Tata Motors, lucknow Revised 2.02" xfId="750"/>
    <cellStyle name="v_Costing_Hero Honda_Haridwar" xfId="751"/>
    <cellStyle name="v_Costing_Indian Chancery_4.06.06" xfId="752"/>
    <cellStyle name="v_Costing_Inst. Bld-Emirates Group-Noida-13.06.06" xfId="753"/>
    <cellStyle name="v_DLF Agrrement _ Formats _10A" xfId="754"/>
    <cellStyle name="v_DLF Cyber Tower _02.06.05 l" xfId="755"/>
    <cellStyle name="v_IVY Costing -10.12.05_Control Budjet" xfId="756"/>
    <cellStyle name="v_IVY Costing -10.12.05_Final Submitted" xfId="757"/>
    <cellStyle name="v_JCB_Cash Flow" xfId="758"/>
    <cellStyle name="v_JNS Costing _ 18.01.09 with Tribhuwan  _ cashFlow" xfId="759"/>
    <cellStyle name="v_PSE IVY- from site &amp; Correction by tender sell" xfId="760"/>
    <cellStyle name="v_Sheet1" xfId="761"/>
    <cellStyle name="v_Submitted_27.10.05" xfId="762"/>
    <cellStyle name="Valuta (0)_laroux" xfId="763"/>
    <cellStyle name="Valuta_laroux" xfId="764"/>
    <cellStyle name="Währung [0]_RESULTS" xfId="765"/>
    <cellStyle name="Währung_RESULTS" xfId="766"/>
    <cellStyle name="똿뗦먛귟 [0.00]_PRODUCT DETAIL Q1" xfId="767"/>
    <cellStyle name="똿뗦먛귟_PRODUCT DETAIL Q1" xfId="768"/>
    <cellStyle name="믅됞 [0.00]_PRODUCT DETAIL Q1" xfId="769"/>
    <cellStyle name="믅됞_PRODUCT DETAIL Q1" xfId="770"/>
    <cellStyle name="백분율_HOBONG" xfId="771"/>
    <cellStyle name="뷭?_BOOKSHIP" xfId="772"/>
    <cellStyle name="콤마 [0]_1202" xfId="773"/>
    <cellStyle name="콤마_1202" xfId="774"/>
    <cellStyle name="통화 [0]_1202" xfId="775"/>
    <cellStyle name="통화_1202" xfId="776"/>
    <cellStyle name="표준_(정보부문)월별인원계획" xfId="777"/>
    <cellStyle name="桁区切り [0.00]_0098 China Embassy AQ Summary" xfId="778"/>
    <cellStyle name="桁区切り_0098 China Embassy AQ Summary" xfId="779"/>
    <cellStyle name="標準_0098 China Embassy AQ Summary" xfId="780"/>
    <cellStyle name="通貨 [0.00]_0098 China Embassy AQ Summary" xfId="781"/>
    <cellStyle name="通貨_0098 China Embassy AQ Summary" xfId="78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3.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104775</xdr:colOff>
      <xdr:row>24</xdr:row>
      <xdr:rowOff>19050</xdr:rowOff>
    </xdr:from>
    <xdr:to>
      <xdr:col>1</xdr:col>
      <xdr:colOff>390524</xdr:colOff>
      <xdr:row>27</xdr:row>
      <xdr:rowOff>28575</xdr:rowOff>
    </xdr:to>
    <xdr:pic>
      <xdr:nvPicPr>
        <xdr:cNvPr id="8" name="Picture 7"/>
        <xdr:cNvPicPr>
          <a:picLocks noChangeAspect="1"/>
        </xdr:cNvPicPr>
      </xdr:nvPicPr>
      <xdr:blipFill>
        <a:blip xmlns:r="http://schemas.openxmlformats.org/officeDocument/2006/relationships" r:embed="rId1" cstate="print"/>
        <a:stretch>
          <a:fillRect/>
        </a:stretch>
      </xdr:blipFill>
      <xdr:spPr>
        <a:xfrm>
          <a:off x="104775" y="5305425"/>
          <a:ext cx="1142999" cy="58102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X33"/>
  <sheetViews>
    <sheetView workbookViewId="0">
      <selection activeCell="A4" sqref="A4:B4"/>
    </sheetView>
  </sheetViews>
  <sheetFormatPr defaultColWidth="9" defaultRowHeight="15"/>
  <cols>
    <col min="1" max="1" width="10.125" style="51" customWidth="1"/>
    <col min="2" max="2" width="35.75" style="52" customWidth="1"/>
    <col min="3" max="3" width="5" style="47" customWidth="1"/>
    <col min="4" max="4" width="9.875" style="48" customWidth="1"/>
    <col min="5" max="5" width="11.125" style="49" customWidth="1"/>
    <col min="6" max="6" width="14.625" style="48" customWidth="1"/>
    <col min="7" max="7" width="10.125" style="51" customWidth="1"/>
    <col min="8" max="8" width="35.75" style="52" customWidth="1"/>
    <col min="9" max="9" width="5" style="47" customWidth="1"/>
    <col min="10" max="10" width="9.875" style="48" customWidth="1"/>
    <col min="11" max="11" width="11.125" style="49" customWidth="1"/>
    <col min="12" max="12" width="14.625" style="48" customWidth="1"/>
    <col min="13" max="13" width="8.5" style="8" bestFit="1" customWidth="1"/>
    <col min="14" max="16" width="11.375" style="8" customWidth="1"/>
    <col min="17" max="17" width="10.75" style="1" bestFit="1" customWidth="1"/>
    <col min="18" max="20" width="9.25" style="1" bestFit="1" customWidth="1"/>
    <col min="21" max="21" width="9" style="5"/>
    <col min="22" max="23" width="10.375" style="5" bestFit="1" customWidth="1"/>
    <col min="24" max="24" width="10.5" style="5" bestFit="1" customWidth="1"/>
    <col min="25" max="16384" width="9" style="2"/>
  </cols>
  <sheetData>
    <row r="1" spans="1:24" s="3" customFormat="1">
      <c r="A1" s="9"/>
      <c r="B1" s="10"/>
      <c r="C1" s="11"/>
      <c r="D1" s="12"/>
      <c r="E1" s="11"/>
      <c r="F1" s="12"/>
      <c r="G1" s="9"/>
      <c r="H1" s="10"/>
      <c r="I1" s="11"/>
      <c r="J1" s="12"/>
      <c r="K1" s="11"/>
      <c r="L1" s="12"/>
      <c r="M1" s="7"/>
      <c r="N1" s="7"/>
      <c r="O1" s="7"/>
      <c r="P1" s="7"/>
      <c r="Q1" s="4"/>
      <c r="R1" s="4"/>
      <c r="S1" s="4"/>
      <c r="T1" s="4"/>
      <c r="U1" s="6"/>
      <c r="V1" s="6"/>
      <c r="W1" s="6"/>
      <c r="X1" s="6"/>
    </row>
    <row r="2" spans="1:24">
      <c r="A2" s="9"/>
      <c r="B2" s="10"/>
      <c r="C2" s="11"/>
      <c r="D2" s="12"/>
      <c r="E2" s="11"/>
      <c r="F2" s="12"/>
      <c r="G2" s="9"/>
      <c r="H2" s="10"/>
      <c r="I2" s="11"/>
      <c r="J2" s="12"/>
      <c r="K2" s="11"/>
      <c r="L2" s="12"/>
    </row>
    <row r="3" spans="1:24">
      <c r="A3" s="14" t="s">
        <v>30</v>
      </c>
      <c r="B3" s="10"/>
      <c r="C3" s="11"/>
      <c r="D3" s="12"/>
      <c r="E3" s="11"/>
      <c r="F3" s="12"/>
      <c r="G3" s="14"/>
      <c r="H3" s="10"/>
      <c r="I3" s="11"/>
      <c r="J3" s="12"/>
      <c r="K3" s="11"/>
      <c r="L3" s="12"/>
    </row>
    <row r="4" spans="1:24">
      <c r="A4" s="157" t="s">
        <v>19</v>
      </c>
      <c r="B4" s="158"/>
      <c r="C4" s="15"/>
      <c r="D4" s="16"/>
      <c r="E4" s="17"/>
      <c r="F4" s="16"/>
      <c r="G4" s="157"/>
      <c r="H4" s="158"/>
      <c r="I4" s="15"/>
      <c r="J4" s="16"/>
      <c r="K4" s="17"/>
      <c r="L4" s="16"/>
    </row>
    <row r="5" spans="1:24">
      <c r="A5" s="18"/>
      <c r="B5" s="19"/>
      <c r="C5" s="20"/>
      <c r="D5" s="21"/>
      <c r="E5" s="22"/>
      <c r="F5" s="21"/>
      <c r="G5" s="18"/>
      <c r="H5" s="19"/>
      <c r="I5" s="20"/>
      <c r="J5" s="21"/>
      <c r="K5" s="22"/>
      <c r="L5" s="21"/>
    </row>
    <row r="6" spans="1:24">
      <c r="A6" s="18" t="s">
        <v>1</v>
      </c>
      <c r="B6" s="19"/>
      <c r="C6" s="20"/>
      <c r="D6" s="21"/>
      <c r="E6" s="22"/>
      <c r="F6" s="21"/>
      <c r="G6" s="18"/>
      <c r="H6" s="19"/>
      <c r="I6" s="20"/>
      <c r="J6" s="21"/>
      <c r="K6" s="22"/>
      <c r="L6" s="21"/>
    </row>
    <row r="7" spans="1:24">
      <c r="A7" s="23" t="s">
        <v>23</v>
      </c>
      <c r="B7" s="24"/>
      <c r="C7" s="25"/>
      <c r="D7" s="26"/>
      <c r="E7" s="27"/>
      <c r="F7" s="26"/>
      <c r="G7" s="23"/>
      <c r="H7" s="24"/>
      <c r="I7" s="25"/>
      <c r="J7" s="26"/>
      <c r="K7" s="27"/>
      <c r="L7" s="26"/>
    </row>
    <row r="8" spans="1:24">
      <c r="A8" s="14" t="s">
        <v>27</v>
      </c>
      <c r="B8" s="24"/>
      <c r="C8" s="28"/>
      <c r="D8" s="29"/>
      <c r="E8" s="30"/>
      <c r="F8" s="29"/>
      <c r="G8" s="14"/>
      <c r="H8" s="24"/>
      <c r="I8" s="28"/>
      <c r="J8" s="29"/>
      <c r="K8" s="30"/>
      <c r="L8" s="29"/>
    </row>
    <row r="9" spans="1:24">
      <c r="A9" s="14"/>
      <c r="B9" s="31"/>
      <c r="C9" s="28"/>
      <c r="D9" s="29"/>
      <c r="E9" s="30"/>
      <c r="F9" s="29"/>
      <c r="G9" s="14"/>
      <c r="H9" s="31"/>
      <c r="I9" s="28"/>
      <c r="J9" s="29"/>
      <c r="K9" s="30"/>
      <c r="L9" s="29"/>
    </row>
    <row r="10" spans="1:24">
      <c r="A10" s="14"/>
      <c r="B10" s="32"/>
      <c r="C10" s="20"/>
      <c r="D10" s="21"/>
      <c r="E10" s="22"/>
      <c r="F10" s="21"/>
      <c r="G10" s="14"/>
      <c r="H10" s="32"/>
      <c r="I10" s="20"/>
      <c r="J10" s="21"/>
      <c r="K10" s="22"/>
      <c r="L10" s="21"/>
    </row>
    <row r="11" spans="1:24">
      <c r="A11" s="23"/>
      <c r="B11" s="24"/>
      <c r="C11" s="25"/>
      <c r="D11" s="26"/>
      <c r="E11" s="27"/>
      <c r="F11" s="26"/>
      <c r="G11" s="23"/>
      <c r="H11" s="24"/>
      <c r="I11" s="25"/>
      <c r="J11" s="26"/>
      <c r="K11" s="27"/>
      <c r="L11" s="26"/>
    </row>
    <row r="12" spans="1:24">
      <c r="A12" s="14"/>
      <c r="B12" s="32"/>
      <c r="C12" s="20"/>
      <c r="D12" s="21"/>
      <c r="E12" s="22"/>
      <c r="F12" s="21"/>
      <c r="G12" s="14"/>
      <c r="H12" s="32"/>
      <c r="I12" s="20"/>
      <c r="J12" s="21"/>
      <c r="K12" s="22"/>
      <c r="L12" s="21"/>
    </row>
    <row r="13" spans="1:24">
      <c r="A13" s="14" t="s">
        <v>2</v>
      </c>
      <c r="B13" s="32"/>
      <c r="C13" s="20"/>
      <c r="D13" s="21"/>
      <c r="E13" s="22"/>
      <c r="F13" s="21"/>
      <c r="G13" s="14"/>
      <c r="H13" s="32"/>
      <c r="I13" s="20"/>
      <c r="J13" s="21"/>
      <c r="K13" s="22"/>
      <c r="L13" s="21"/>
    </row>
    <row r="14" spans="1:24">
      <c r="A14" s="14"/>
      <c r="B14" s="32"/>
      <c r="C14" s="20"/>
      <c r="D14" s="21"/>
      <c r="E14" s="22"/>
      <c r="F14" s="21"/>
      <c r="G14" s="14"/>
      <c r="H14" s="32"/>
      <c r="I14" s="20"/>
      <c r="J14" s="21"/>
      <c r="K14" s="22"/>
      <c r="L14" s="21"/>
    </row>
    <row r="15" spans="1:24">
      <c r="A15" s="23" t="s">
        <v>3</v>
      </c>
      <c r="B15" s="159" t="s">
        <v>20</v>
      </c>
      <c r="C15" s="160"/>
      <c r="D15" s="160"/>
      <c r="E15" s="160"/>
      <c r="F15" s="160"/>
      <c r="G15" s="23"/>
      <c r="H15" s="159"/>
      <c r="I15" s="160"/>
      <c r="J15" s="160"/>
      <c r="K15" s="160"/>
      <c r="L15" s="160"/>
    </row>
    <row r="16" spans="1:24">
      <c r="A16" s="23"/>
      <c r="B16" s="33"/>
      <c r="C16" s="34"/>
      <c r="D16" s="34"/>
      <c r="E16" s="34"/>
      <c r="F16" s="34"/>
      <c r="G16" s="23"/>
      <c r="H16" s="33"/>
      <c r="I16" s="34"/>
      <c r="J16" s="34"/>
      <c r="K16" s="34"/>
      <c r="L16" s="34"/>
    </row>
    <row r="17" spans="1:12">
      <c r="A17" s="23" t="s">
        <v>4</v>
      </c>
      <c r="B17" s="159" t="s">
        <v>21</v>
      </c>
      <c r="C17" s="160"/>
      <c r="D17" s="160"/>
      <c r="E17" s="160"/>
      <c r="F17" s="160"/>
      <c r="G17" s="23"/>
      <c r="H17" s="159"/>
      <c r="I17" s="160"/>
      <c r="J17" s="160"/>
      <c r="K17" s="160"/>
      <c r="L17" s="160"/>
    </row>
    <row r="18" spans="1:12">
      <c r="A18" s="35"/>
      <c r="B18" s="36"/>
      <c r="C18" s="15"/>
      <c r="D18" s="16"/>
      <c r="E18" s="17"/>
      <c r="F18" s="16"/>
      <c r="G18" s="35"/>
      <c r="H18" s="36"/>
      <c r="I18" s="15"/>
      <c r="J18" s="16"/>
      <c r="K18" s="17"/>
      <c r="L18" s="16"/>
    </row>
    <row r="19" spans="1:12" s="39" customFormat="1" ht="56.25" customHeight="1">
      <c r="A19" s="155" t="s">
        <v>22</v>
      </c>
      <c r="B19" s="156"/>
      <c r="C19" s="156"/>
      <c r="D19" s="156"/>
      <c r="E19" s="156"/>
      <c r="F19" s="156"/>
      <c r="G19" s="37"/>
      <c r="H19" s="38"/>
      <c r="K19" s="40"/>
      <c r="L19" s="41"/>
    </row>
    <row r="20" spans="1:12" s="39" customFormat="1" ht="15" customHeight="1">
      <c r="A20" s="153" t="s">
        <v>5</v>
      </c>
      <c r="B20" s="154"/>
      <c r="C20" s="154"/>
      <c r="D20" s="154"/>
      <c r="E20" s="154"/>
      <c r="F20" s="154"/>
      <c r="G20" s="37"/>
      <c r="H20" s="13"/>
      <c r="K20" s="40"/>
      <c r="L20" s="41"/>
    </row>
    <row r="21" spans="1:12" s="39" customFormat="1" ht="15" customHeight="1">
      <c r="A21" s="153"/>
      <c r="B21" s="154"/>
      <c r="C21" s="154"/>
      <c r="D21" s="154"/>
      <c r="E21" s="154"/>
      <c r="F21" s="154"/>
      <c r="G21" s="37"/>
      <c r="H21" s="13"/>
      <c r="K21" s="40"/>
      <c r="L21" s="41"/>
    </row>
    <row r="22" spans="1:12" s="39" customFormat="1" ht="15" customHeight="1">
      <c r="A22" s="153" t="s">
        <v>6</v>
      </c>
      <c r="B22" s="154"/>
      <c r="C22" s="154"/>
      <c r="D22" s="154"/>
      <c r="E22" s="154"/>
      <c r="F22" s="154"/>
      <c r="G22" s="37"/>
      <c r="H22" s="13"/>
      <c r="K22" s="40"/>
      <c r="L22" s="41"/>
    </row>
    <row r="23" spans="1:12" s="39" customFormat="1" ht="15" customHeight="1">
      <c r="A23" s="42"/>
      <c r="B23" s="43"/>
      <c r="C23" s="43"/>
      <c r="D23" s="43"/>
      <c r="E23" s="43"/>
      <c r="F23" s="43"/>
      <c r="G23" s="37"/>
      <c r="H23" s="13"/>
      <c r="K23" s="40"/>
      <c r="L23" s="41"/>
    </row>
    <row r="24" spans="1:12">
      <c r="A24" s="155" t="s">
        <v>7</v>
      </c>
      <c r="B24" s="156"/>
      <c r="C24" s="156"/>
      <c r="D24" s="156"/>
      <c r="E24" s="156"/>
      <c r="F24" s="156"/>
      <c r="G24" s="155"/>
      <c r="H24" s="156"/>
      <c r="I24" s="156"/>
      <c r="J24" s="156"/>
      <c r="K24" s="156"/>
      <c r="L24" s="156"/>
    </row>
    <row r="25" spans="1:12">
      <c r="A25" s="42"/>
      <c r="B25" s="43"/>
      <c r="C25" s="43"/>
      <c r="D25" s="43"/>
      <c r="E25" s="43"/>
      <c r="F25" s="43"/>
      <c r="G25" s="42"/>
      <c r="H25" s="43"/>
      <c r="I25" s="43"/>
      <c r="J25" s="43"/>
      <c r="K25" s="43"/>
      <c r="L25" s="43"/>
    </row>
    <row r="26" spans="1:12">
      <c r="A26" s="42"/>
      <c r="B26" s="43"/>
      <c r="C26" s="43"/>
      <c r="D26" s="43"/>
      <c r="E26" s="43"/>
      <c r="F26" s="43"/>
      <c r="G26" s="42"/>
      <c r="H26" s="43"/>
      <c r="I26" s="43"/>
      <c r="J26" s="43"/>
      <c r="K26" s="43"/>
      <c r="L26" s="43"/>
    </row>
    <row r="27" spans="1:12">
      <c r="A27" s="42"/>
      <c r="B27" s="43"/>
      <c r="C27" s="43"/>
      <c r="D27" s="43"/>
      <c r="E27" s="43"/>
      <c r="F27" s="43"/>
      <c r="G27" s="42"/>
      <c r="H27" s="43"/>
      <c r="I27" s="43"/>
      <c r="J27" s="43"/>
      <c r="K27" s="43"/>
      <c r="L27" s="43"/>
    </row>
    <row r="28" spans="1:12">
      <c r="A28" s="155"/>
      <c r="B28" s="156"/>
      <c r="C28" s="156"/>
      <c r="D28" s="156"/>
      <c r="E28" s="156"/>
      <c r="F28" s="156"/>
      <c r="G28" s="155"/>
      <c r="H28" s="156"/>
      <c r="I28" s="156"/>
      <c r="J28" s="156"/>
      <c r="K28" s="156"/>
      <c r="L28" s="156"/>
    </row>
    <row r="29" spans="1:12">
      <c r="A29" s="155" t="s">
        <v>8</v>
      </c>
      <c r="B29" s="156"/>
      <c r="C29" s="156"/>
      <c r="D29" s="156"/>
      <c r="E29" s="43"/>
      <c r="F29" s="43"/>
      <c r="G29" s="155"/>
      <c r="H29" s="156"/>
      <c r="I29" s="156"/>
      <c r="J29" s="156"/>
      <c r="K29" s="43"/>
      <c r="L29" s="43"/>
    </row>
    <row r="30" spans="1:12">
      <c r="A30" s="44" t="s">
        <v>9</v>
      </c>
      <c r="B30" s="45" t="s">
        <v>10</v>
      </c>
      <c r="C30" s="43"/>
      <c r="D30" s="43"/>
      <c r="E30" s="43"/>
      <c r="F30" s="43"/>
      <c r="G30" s="44"/>
      <c r="H30" s="45"/>
      <c r="I30" s="43"/>
      <c r="J30" s="43"/>
      <c r="K30" s="43"/>
      <c r="L30" s="43"/>
    </row>
    <row r="31" spans="1:12">
      <c r="A31" s="46" t="s">
        <v>11</v>
      </c>
      <c r="B31" s="45" t="s">
        <v>12</v>
      </c>
      <c r="C31" s="43"/>
      <c r="D31" s="43"/>
      <c r="E31" s="43"/>
      <c r="F31" s="43"/>
      <c r="G31" s="46"/>
      <c r="H31" s="45"/>
      <c r="I31" s="43"/>
      <c r="J31" s="43"/>
      <c r="K31" s="43"/>
      <c r="L31" s="43"/>
    </row>
    <row r="32" spans="1:12">
      <c r="A32" s="46" t="s">
        <v>28</v>
      </c>
      <c r="B32" s="45" t="s">
        <v>29</v>
      </c>
      <c r="G32" s="46"/>
      <c r="H32" s="45"/>
    </row>
    <row r="33" spans="1:8">
      <c r="A33" s="46"/>
      <c r="B33" s="45"/>
      <c r="G33" s="46"/>
      <c r="H33" s="45"/>
    </row>
  </sheetData>
  <mergeCells count="16">
    <mergeCell ref="G24:L24"/>
    <mergeCell ref="G28:L28"/>
    <mergeCell ref="G29:J29"/>
    <mergeCell ref="G4:H4"/>
    <mergeCell ref="H15:L15"/>
    <mergeCell ref="H17:L17"/>
    <mergeCell ref="A20:F20"/>
    <mergeCell ref="A4:B4"/>
    <mergeCell ref="B15:F15"/>
    <mergeCell ref="B17:F17"/>
    <mergeCell ref="A19:F19"/>
    <mergeCell ref="A21:F21"/>
    <mergeCell ref="A22:F22"/>
    <mergeCell ref="A24:F24"/>
    <mergeCell ref="A28:F28"/>
    <mergeCell ref="A29:D29"/>
  </mergeCells>
  <pageMargins left="0.7" right="0.7" top="2" bottom="0.75" header="0.3" footer="0.3"/>
  <pageSetup scale="98" fitToHeight="0" orientation="portrait" r:id="rId1"/>
  <headerFooter>
    <oddHeader>&amp;R&amp;G</oddHeader>
    <oddFooter>&amp;C&amp;"Times,Roman"&amp;9&amp;G 
1187/33, Shilpa Chambers, First Floor, Off Jangli Maharaj Road, Shivaji Nagar, PUNE 411 005
Tel: +91 20 25541271,40058031   TelFax: +91 20 25540777   Cell: +91 9372510100
eMail: globalinfraprojects@gmail.com&amp;RPage # &amp;P of &amp;N</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5:I43"/>
  <sheetViews>
    <sheetView tabSelected="1" view="pageLayout" topLeftCell="A4" zoomScale="130" zoomScaleNormal="100" zoomScalePageLayoutView="130" workbookViewId="0">
      <selection activeCell="B13" sqref="B13:B17"/>
    </sheetView>
  </sheetViews>
  <sheetFormatPr defaultRowHeight="15"/>
  <cols>
    <col min="2" max="2" width="28" customWidth="1"/>
    <col min="3" max="3" width="7.375" customWidth="1"/>
    <col min="4" max="4" width="10.25" customWidth="1"/>
    <col min="5" max="5" width="10.125" customWidth="1"/>
    <col min="6" max="6" width="11.375" customWidth="1"/>
    <col min="7" max="16384" width="9" style="2"/>
  </cols>
  <sheetData>
    <row r="5" spans="1:9">
      <c r="A5" s="165" t="s">
        <v>65</v>
      </c>
      <c r="B5" s="166"/>
      <c r="C5" s="166"/>
      <c r="D5" s="166"/>
      <c r="E5" s="166"/>
      <c r="F5" s="167"/>
    </row>
    <row r="6" spans="1:9" customFormat="1" ht="14.25">
      <c r="A6" s="134" t="s">
        <v>68</v>
      </c>
      <c r="B6" s="133"/>
      <c r="C6" s="133"/>
      <c r="D6" s="133"/>
      <c r="E6" s="133" t="s">
        <v>79</v>
      </c>
      <c r="F6" s="135"/>
    </row>
    <row r="7" spans="1:9" customFormat="1" ht="14.25" customHeight="1">
      <c r="A7" s="136"/>
      <c r="B7" s="131" t="s">
        <v>75</v>
      </c>
      <c r="C7" s="131"/>
      <c r="D7" s="131"/>
      <c r="E7" s="131" t="s">
        <v>80</v>
      </c>
      <c r="F7" s="137"/>
    </row>
    <row r="8" spans="1:9" customFormat="1" ht="14.25" customHeight="1">
      <c r="A8" s="138"/>
      <c r="B8" s="131"/>
      <c r="C8" s="131"/>
      <c r="D8" s="131"/>
      <c r="E8" s="131"/>
      <c r="F8" s="137"/>
    </row>
    <row r="9" spans="1:9" customFormat="1" ht="14.25" customHeight="1">
      <c r="A9" s="138"/>
      <c r="B9" s="131"/>
      <c r="C9" s="131"/>
      <c r="D9" s="131"/>
      <c r="E9" s="131"/>
      <c r="F9" s="137"/>
    </row>
    <row r="10" spans="1:9" customFormat="1" ht="14.25" customHeight="1">
      <c r="A10" s="103" t="s">
        <v>69</v>
      </c>
      <c r="B10" s="103" t="s">
        <v>70</v>
      </c>
      <c r="C10" s="103" t="s">
        <v>71</v>
      </c>
      <c r="D10" s="103" t="s">
        <v>72</v>
      </c>
      <c r="E10" s="103" t="s">
        <v>25</v>
      </c>
      <c r="F10" s="103" t="s">
        <v>73</v>
      </c>
    </row>
    <row r="11" spans="1:9" customFormat="1" ht="14.25" customHeight="1">
      <c r="A11" s="103"/>
      <c r="B11" s="103"/>
      <c r="C11" s="103"/>
      <c r="D11" s="103"/>
      <c r="E11" s="103"/>
      <c r="F11" s="103"/>
    </row>
    <row r="12" spans="1:9" customFormat="1" ht="14.25" customHeight="1">
      <c r="A12" s="103">
        <v>1</v>
      </c>
      <c r="B12" s="149" t="s">
        <v>67</v>
      </c>
      <c r="C12" s="150"/>
      <c r="D12" s="150"/>
      <c r="E12" s="151"/>
      <c r="F12" s="151"/>
    </row>
    <row r="13" spans="1:9" customFormat="1" ht="14.25" customHeight="1">
      <c r="A13" s="147"/>
      <c r="B13" s="170" t="s">
        <v>78</v>
      </c>
      <c r="C13" s="171" t="s">
        <v>74</v>
      </c>
      <c r="D13" s="171">
        <v>2800</v>
      </c>
      <c r="E13" s="173">
        <v>4</v>
      </c>
      <c r="F13" s="173">
        <f>SUM(E13*D13)</f>
        <v>11200</v>
      </c>
    </row>
    <row r="14" spans="1:9" customFormat="1" ht="14.25">
      <c r="A14" s="147"/>
      <c r="B14" s="170"/>
      <c r="C14" s="171"/>
      <c r="D14" s="171"/>
      <c r="E14" s="173"/>
      <c r="F14" s="173"/>
    </row>
    <row r="15" spans="1:9" customFormat="1" ht="14.25">
      <c r="A15" s="147"/>
      <c r="B15" s="170"/>
      <c r="C15" s="171"/>
      <c r="D15" s="171"/>
      <c r="E15" s="173"/>
      <c r="F15" s="173"/>
    </row>
    <row r="16" spans="1:9" customFormat="1">
      <c r="A16" s="147"/>
      <c r="B16" s="170"/>
      <c r="C16" s="171"/>
      <c r="D16" s="171"/>
      <c r="E16" s="173"/>
      <c r="F16" s="173"/>
      <c r="I16" s="92"/>
    </row>
    <row r="17" spans="1:9" customFormat="1" ht="15" customHeight="1">
      <c r="A17" s="148"/>
      <c r="B17" s="177"/>
      <c r="C17" s="172"/>
      <c r="D17" s="172"/>
      <c r="E17" s="174"/>
      <c r="F17" s="174"/>
      <c r="I17" s="92"/>
    </row>
    <row r="18" spans="1:9" customFormat="1" ht="14.25" customHeight="1">
      <c r="A18" s="142"/>
      <c r="B18" s="133"/>
      <c r="C18" s="133"/>
      <c r="D18" s="133"/>
      <c r="E18" s="133"/>
      <c r="F18" s="135"/>
      <c r="I18" s="92"/>
    </row>
    <row r="19" spans="1:9" customFormat="1" ht="14.25" customHeight="1">
      <c r="A19" s="138"/>
      <c r="B19" s="132"/>
      <c r="C19" s="131"/>
      <c r="D19" s="131"/>
      <c r="E19" s="131"/>
      <c r="F19" s="137"/>
    </row>
    <row r="20" spans="1:9" customFormat="1" ht="14.25" customHeight="1">
      <c r="A20" s="143" t="s">
        <v>62</v>
      </c>
      <c r="B20" s="139"/>
      <c r="C20" s="140"/>
      <c r="D20" s="141"/>
      <c r="E20" s="131"/>
      <c r="F20" s="137"/>
    </row>
    <row r="21" spans="1:9" customFormat="1">
      <c r="A21" s="144"/>
      <c r="B21" s="105"/>
      <c r="C21" s="106"/>
      <c r="D21" s="107"/>
      <c r="E21" s="108"/>
      <c r="F21" s="145"/>
    </row>
    <row r="22" spans="1:9" customFormat="1" ht="14.25" customHeight="1">
      <c r="A22" s="144">
        <v>1</v>
      </c>
      <c r="B22" s="168" t="s">
        <v>66</v>
      </c>
      <c r="C22" s="168"/>
      <c r="D22" s="168"/>
      <c r="E22" s="168"/>
      <c r="F22" s="169"/>
      <c r="G22" s="88"/>
    </row>
    <row r="23" spans="1:9" customFormat="1">
      <c r="A23" s="144">
        <v>2</v>
      </c>
      <c r="B23" s="168" t="s">
        <v>63</v>
      </c>
      <c r="C23" s="168"/>
      <c r="D23" s="168"/>
      <c r="E23" s="168"/>
      <c r="F23" s="169"/>
      <c r="G23" s="90"/>
    </row>
    <row r="24" spans="1:9" customFormat="1">
      <c r="A24" s="144">
        <v>3</v>
      </c>
      <c r="B24" s="168" t="s">
        <v>76</v>
      </c>
      <c r="C24" s="168"/>
      <c r="D24" s="168"/>
      <c r="E24" s="168"/>
      <c r="F24" s="169"/>
      <c r="G24" s="90"/>
    </row>
    <row r="25" spans="1:9" customFormat="1" ht="29.25" customHeight="1">
      <c r="A25" s="152">
        <v>4</v>
      </c>
      <c r="B25" s="163" t="s">
        <v>77</v>
      </c>
      <c r="C25" s="163"/>
      <c r="D25" s="163"/>
      <c r="E25" s="163"/>
      <c r="F25" s="164"/>
      <c r="G25" s="90"/>
    </row>
    <row r="26" spans="1:9" customFormat="1" ht="14.25" customHeight="1">
      <c r="A26" s="144">
        <v>5</v>
      </c>
      <c r="B26" s="168" t="s">
        <v>64</v>
      </c>
      <c r="C26" s="168"/>
      <c r="D26" s="168"/>
      <c r="E26" s="168"/>
      <c r="F26" s="169"/>
      <c r="G26" s="88"/>
    </row>
    <row r="27" spans="1:9" customFormat="1">
      <c r="A27" s="146">
        <v>6</v>
      </c>
      <c r="B27" s="161" t="s">
        <v>16</v>
      </c>
      <c r="C27" s="161"/>
      <c r="D27" s="161"/>
      <c r="E27" s="161"/>
      <c r="F27" s="162"/>
      <c r="G27" s="88"/>
    </row>
    <row r="28" spans="1:9" customFormat="1" ht="231" customHeight="1">
      <c r="A28" s="104"/>
      <c r="B28" s="115"/>
      <c r="C28" s="106"/>
      <c r="D28" s="107"/>
      <c r="E28" s="108"/>
      <c r="F28" s="109"/>
      <c r="G28" s="88"/>
    </row>
    <row r="29" spans="1:9" customFormat="1">
      <c r="A29" s="104"/>
      <c r="B29" s="105"/>
      <c r="C29" s="106"/>
      <c r="D29" s="107"/>
      <c r="E29" s="108"/>
      <c r="F29" s="109"/>
      <c r="G29" s="88"/>
    </row>
    <row r="30" spans="1:9" customFormat="1" ht="41.25" customHeight="1">
      <c r="A30" s="104"/>
      <c r="B30" s="105"/>
      <c r="C30" s="106"/>
      <c r="D30" s="107"/>
      <c r="E30" s="108"/>
      <c r="F30" s="109"/>
      <c r="G30" s="88"/>
    </row>
    <row r="31" spans="1:9" customFormat="1" ht="14.25" customHeight="1">
      <c r="A31" s="104"/>
      <c r="B31" s="110"/>
      <c r="C31" s="106"/>
      <c r="D31" s="107"/>
      <c r="E31" s="111"/>
      <c r="F31" s="112"/>
      <c r="G31" s="88"/>
    </row>
    <row r="32" spans="1:9" customFormat="1" ht="14.25" customHeight="1">
      <c r="A32" s="104"/>
      <c r="B32" s="113"/>
      <c r="C32" s="106"/>
      <c r="D32" s="107"/>
      <c r="E32" s="111"/>
      <c r="F32" s="114"/>
      <c r="G32" s="90"/>
    </row>
    <row r="33" spans="1:7" customFormat="1" ht="14.25" customHeight="1">
      <c r="A33" s="104"/>
      <c r="B33" s="113"/>
      <c r="C33" s="106"/>
      <c r="D33" s="107"/>
      <c r="E33" s="111"/>
      <c r="F33" s="114"/>
      <c r="G33" s="88"/>
    </row>
    <row r="34" spans="1:7" customFormat="1" ht="14.25" customHeight="1">
      <c r="A34" s="104"/>
      <c r="B34" s="113"/>
      <c r="C34" s="106"/>
      <c r="D34" s="107"/>
      <c r="E34" s="111"/>
      <c r="F34" s="109"/>
      <c r="G34" s="88"/>
    </row>
    <row r="35" spans="1:7" customFormat="1">
      <c r="A35" s="104"/>
      <c r="B35" s="116"/>
      <c r="C35" s="106"/>
      <c r="D35" s="107"/>
      <c r="E35" s="117"/>
      <c r="F35" s="114"/>
      <c r="G35" s="90"/>
    </row>
    <row r="36" spans="1:7" customFormat="1" ht="14.25" customHeight="1">
      <c r="A36" s="104"/>
      <c r="B36" s="113"/>
      <c r="C36" s="106"/>
      <c r="D36" s="107"/>
      <c r="E36" s="111"/>
      <c r="F36" s="109"/>
      <c r="G36" s="88"/>
    </row>
    <row r="37" spans="1:7" customFormat="1">
      <c r="A37" s="118"/>
      <c r="B37" s="119"/>
      <c r="C37" s="120"/>
      <c r="D37" s="121"/>
      <c r="E37" s="122"/>
      <c r="F37" s="114"/>
      <c r="G37" s="90"/>
    </row>
    <row r="38" spans="1:7" customFormat="1">
      <c r="A38" s="118"/>
      <c r="B38" s="119"/>
      <c r="C38" s="120"/>
      <c r="D38" s="123"/>
      <c r="E38" s="122"/>
      <c r="F38" s="124"/>
      <c r="G38" s="91"/>
    </row>
    <row r="39" spans="1:7" s="94" customFormat="1">
      <c r="A39" s="125"/>
      <c r="B39" s="126"/>
      <c r="C39" s="127"/>
      <c r="D39" s="128"/>
      <c r="E39" s="129"/>
      <c r="F39" s="130"/>
      <c r="G39" s="93"/>
    </row>
    <row r="40" spans="1:7">
      <c r="A40" s="131"/>
      <c r="B40" s="131"/>
      <c r="C40" s="131"/>
      <c r="D40" s="131"/>
      <c r="E40" s="131"/>
      <c r="F40" s="131"/>
    </row>
    <row r="41" spans="1:7">
      <c r="A41" s="131"/>
      <c r="B41" s="131"/>
      <c r="C41" s="131"/>
      <c r="D41" s="131"/>
      <c r="E41" s="131"/>
      <c r="F41" s="131"/>
    </row>
    <row r="42" spans="1:7">
      <c r="A42" s="131"/>
      <c r="B42" s="131"/>
      <c r="C42" s="131"/>
      <c r="D42" s="131"/>
      <c r="E42" s="131"/>
      <c r="F42" s="131"/>
    </row>
    <row r="43" spans="1:7">
      <c r="A43" s="131"/>
      <c r="B43" s="131"/>
      <c r="C43" s="131"/>
      <c r="D43" s="131"/>
      <c r="E43" s="131"/>
      <c r="F43" s="131"/>
    </row>
  </sheetData>
  <mergeCells count="12">
    <mergeCell ref="B27:F27"/>
    <mergeCell ref="B25:F25"/>
    <mergeCell ref="A5:F5"/>
    <mergeCell ref="B23:F23"/>
    <mergeCell ref="B24:F24"/>
    <mergeCell ref="B26:F26"/>
    <mergeCell ref="B22:F22"/>
    <mergeCell ref="B13:B17"/>
    <mergeCell ref="C13:C17"/>
    <mergeCell ref="D13:D17"/>
    <mergeCell ref="E13:E17"/>
    <mergeCell ref="F13:F17"/>
  </mergeCells>
  <printOptions horizontalCentered="1"/>
  <pageMargins left="0.7" right="0.7" top="2" bottom="0.75" header="0.3" footer="0.3"/>
  <pageSetup scale="99" fitToHeight="0" orientation="portrait" r:id="rId1"/>
  <headerFooter>
    <oddHeader>&amp;R&amp;G</oddHeader>
    <oddFooter>&amp;C&amp;"Times,Roman"&amp;9&amp;G 
1187/33, Shilpa Chambers, First Floor, Off Jangli Maharaj Road, Shivaji Nagar, PUNE 411 005
Tel: +91 20 25511447  TelFax: +91 20 25540777   Cell: +91 99609 18895
eMail: globalinfraprojects@gmail.com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P27"/>
  <sheetViews>
    <sheetView workbookViewId="0">
      <selection activeCell="A10" sqref="A10"/>
    </sheetView>
  </sheetViews>
  <sheetFormatPr defaultColWidth="9" defaultRowHeight="15"/>
  <cols>
    <col min="1" max="1" width="3.625" style="53" customWidth="1"/>
    <col min="2" max="2" width="3.625" style="52" customWidth="1"/>
    <col min="3" max="3" width="3.625" style="47" customWidth="1"/>
    <col min="4" max="4" width="73.75" style="48" customWidth="1"/>
    <col min="5" max="5" width="3.625" style="53" customWidth="1"/>
    <col min="6" max="6" width="3.625" style="52" customWidth="1"/>
    <col min="7" max="7" width="3.625" style="47" customWidth="1"/>
    <col min="8" max="8" width="73.75" style="48" customWidth="1"/>
    <col min="9" max="9" width="10.75" style="1" bestFit="1" customWidth="1"/>
    <col min="10" max="12" width="9.25" style="1" bestFit="1" customWidth="1"/>
    <col min="13" max="13" width="9" style="5"/>
    <col min="14" max="15" width="10.375" style="5" bestFit="1" customWidth="1"/>
    <col min="16" max="16" width="10.5" style="5" bestFit="1" customWidth="1"/>
    <col min="17" max="16384" width="9" style="2"/>
  </cols>
  <sheetData>
    <row r="1" spans="1:11" customFormat="1" ht="14.25">
      <c r="A1" s="54"/>
      <c r="B1" s="55"/>
      <c r="C1" s="55"/>
      <c r="D1" s="56"/>
      <c r="E1" s="68"/>
      <c r="F1" s="69"/>
      <c r="G1" s="70"/>
      <c r="H1" s="69"/>
      <c r="I1" s="50"/>
      <c r="J1" s="50"/>
    </row>
    <row r="2" spans="1:11" s="43" customFormat="1" ht="14.25">
      <c r="A2" s="57"/>
      <c r="B2" s="58" t="s">
        <v>13</v>
      </c>
      <c r="C2" s="58"/>
      <c r="D2" s="59"/>
      <c r="E2" s="71"/>
      <c r="F2" s="72"/>
      <c r="G2" s="73"/>
      <c r="H2" s="72"/>
      <c r="I2" s="74"/>
      <c r="J2" s="74"/>
      <c r="K2" s="24"/>
    </row>
    <row r="3" spans="1:11" s="43" customFormat="1" ht="14.25">
      <c r="A3" s="57"/>
      <c r="B3" s="58"/>
      <c r="C3" s="58"/>
      <c r="D3" s="59"/>
      <c r="E3" s="71"/>
      <c r="F3" s="72"/>
      <c r="G3" s="73"/>
      <c r="H3" s="72"/>
      <c r="I3" s="74"/>
      <c r="J3" s="74"/>
      <c r="K3" s="24"/>
    </row>
    <row r="4" spans="1:11" s="43" customFormat="1" ht="31.5" customHeight="1">
      <c r="A4" s="57"/>
      <c r="B4" s="60" t="s">
        <v>0</v>
      </c>
      <c r="C4" s="175" t="s">
        <v>14</v>
      </c>
      <c r="D4" s="156"/>
      <c r="E4" s="67"/>
      <c r="F4" s="75"/>
      <c r="G4" s="75"/>
      <c r="H4" s="75"/>
      <c r="I4" s="74"/>
      <c r="J4" s="74"/>
      <c r="K4" s="24"/>
    </row>
    <row r="5" spans="1:11" s="43" customFormat="1" ht="29.25" customHeight="1">
      <c r="A5" s="57"/>
      <c r="B5" s="60" t="s">
        <v>56</v>
      </c>
      <c r="C5" s="175" t="s">
        <v>15</v>
      </c>
      <c r="D5" s="156"/>
      <c r="E5" s="67"/>
      <c r="F5" s="75"/>
      <c r="G5" s="75"/>
      <c r="H5" s="75"/>
      <c r="I5" s="74"/>
      <c r="J5" s="74"/>
      <c r="K5" s="24"/>
    </row>
    <row r="6" spans="1:11" s="43" customFormat="1" ht="16.5" customHeight="1">
      <c r="A6" s="57"/>
      <c r="B6" s="60" t="s">
        <v>57</v>
      </c>
      <c r="C6" s="175" t="s">
        <v>16</v>
      </c>
      <c r="D6" s="156"/>
      <c r="E6" s="71"/>
      <c r="F6" s="72"/>
      <c r="G6" s="73"/>
      <c r="H6" s="72"/>
      <c r="I6" s="74"/>
      <c r="J6" s="74"/>
      <c r="K6" s="24"/>
    </row>
    <row r="7" spans="1:11" s="43" customFormat="1" ht="15.75" customHeight="1">
      <c r="A7" s="57"/>
      <c r="B7" s="60"/>
      <c r="C7" s="175"/>
      <c r="D7" s="156"/>
      <c r="E7" s="71"/>
      <c r="F7" s="72"/>
      <c r="G7" s="73"/>
      <c r="H7" s="72"/>
      <c r="I7" s="74"/>
      <c r="J7" s="74"/>
      <c r="K7" s="24"/>
    </row>
    <row r="8" spans="1:11" s="43" customFormat="1" ht="16.5" customHeight="1">
      <c r="A8" s="57"/>
      <c r="B8" s="58" t="s">
        <v>17</v>
      </c>
      <c r="C8" s="58"/>
      <c r="D8" s="59"/>
      <c r="E8" s="71"/>
      <c r="F8" s="72"/>
      <c r="G8" s="73"/>
      <c r="H8" s="72"/>
      <c r="I8" s="74"/>
      <c r="J8" s="74"/>
      <c r="K8" s="24"/>
    </row>
    <row r="9" spans="1:11" s="43" customFormat="1" ht="16.5" customHeight="1">
      <c r="A9" s="57"/>
      <c r="B9" s="58"/>
      <c r="C9" s="58"/>
      <c r="D9" s="59"/>
      <c r="E9" s="71"/>
      <c r="F9" s="72"/>
      <c r="G9" s="73"/>
      <c r="H9" s="72"/>
      <c r="I9" s="74"/>
      <c r="J9" s="74"/>
      <c r="K9" s="24"/>
    </row>
    <row r="10" spans="1:11" s="43" customFormat="1" ht="16.5" customHeight="1">
      <c r="A10" s="57"/>
      <c r="B10" s="66" t="s">
        <v>59</v>
      </c>
      <c r="C10" s="175" t="s">
        <v>58</v>
      </c>
      <c r="D10" s="156"/>
      <c r="E10" s="71"/>
      <c r="F10" s="72"/>
      <c r="G10" s="73"/>
      <c r="H10" s="72"/>
      <c r="I10" s="74"/>
      <c r="J10" s="74"/>
      <c r="K10" s="24"/>
    </row>
    <row r="11" spans="1:11" s="43" customFormat="1" ht="16.5" customHeight="1">
      <c r="A11" s="61"/>
      <c r="B11" s="60" t="s">
        <v>56</v>
      </c>
      <c r="C11" s="175" t="s">
        <v>18</v>
      </c>
      <c r="D11" s="156"/>
      <c r="E11" s="76"/>
      <c r="F11" s="77"/>
      <c r="G11" s="78"/>
      <c r="H11" s="77"/>
      <c r="I11" s="74"/>
      <c r="J11" s="74"/>
      <c r="K11" s="24"/>
    </row>
    <row r="12" spans="1:11" s="43" customFormat="1" ht="16.5" customHeight="1">
      <c r="A12" s="61"/>
      <c r="B12" s="64"/>
      <c r="C12" s="62"/>
      <c r="D12" s="63"/>
      <c r="E12" s="76"/>
      <c r="F12" s="77"/>
      <c r="G12" s="78"/>
      <c r="H12" s="77"/>
      <c r="I12" s="74"/>
      <c r="J12" s="74"/>
      <c r="K12" s="24"/>
    </row>
    <row r="13" spans="1:11" s="43" customFormat="1" ht="16.5" customHeight="1">
      <c r="A13" s="61"/>
      <c r="B13" s="60"/>
      <c r="C13" s="62"/>
      <c r="D13" s="63"/>
      <c r="E13" s="76"/>
      <c r="F13" s="77"/>
      <c r="G13" s="78"/>
      <c r="H13" s="77"/>
      <c r="I13" s="74"/>
      <c r="J13" s="74"/>
      <c r="K13" s="24"/>
    </row>
    <row r="14" spans="1:11" s="43" customFormat="1" ht="33.75" customHeight="1">
      <c r="A14" s="57"/>
      <c r="E14" s="72"/>
      <c r="F14" s="73"/>
      <c r="G14" s="72"/>
      <c r="H14" s="74"/>
      <c r="I14" s="74"/>
      <c r="J14" s="24"/>
      <c r="K14" s="24"/>
    </row>
    <row r="15" spans="1:11" s="43" customFormat="1" ht="17.25" customHeight="1">
      <c r="A15" s="57"/>
      <c r="E15" s="72"/>
      <c r="F15" s="73"/>
      <c r="G15" s="72"/>
      <c r="H15" s="74"/>
      <c r="I15" s="74"/>
      <c r="J15" s="24"/>
      <c r="K15" s="24"/>
    </row>
    <row r="16" spans="1:11" s="43" customFormat="1" ht="16.5" customHeight="1">
      <c r="A16" s="57"/>
      <c r="B16" s="60"/>
      <c r="C16" s="60"/>
      <c r="D16" s="59"/>
      <c r="E16" s="71"/>
      <c r="F16" s="72"/>
      <c r="G16" s="73"/>
      <c r="H16" s="72"/>
      <c r="I16" s="79"/>
      <c r="J16" s="80"/>
      <c r="K16" s="81"/>
    </row>
    <row r="17" spans="1:11" s="43" customFormat="1" ht="16.5" customHeight="1">
      <c r="A17" s="57"/>
      <c r="B17" s="58"/>
      <c r="C17" s="58"/>
      <c r="D17" s="59"/>
      <c r="E17" s="71"/>
      <c r="F17" s="72"/>
      <c r="G17" s="73"/>
      <c r="H17" s="72"/>
      <c r="I17" s="79"/>
      <c r="J17" s="74"/>
      <c r="K17" s="81"/>
    </row>
    <row r="18" spans="1:11" s="43" customFormat="1" ht="16.5" customHeight="1">
      <c r="A18" s="57"/>
      <c r="B18" s="58"/>
      <c r="C18" s="58"/>
      <c r="D18" s="59"/>
      <c r="E18" s="71"/>
      <c r="F18" s="72"/>
      <c r="G18" s="73"/>
      <c r="H18" s="72"/>
      <c r="I18" s="79"/>
      <c r="J18" s="74"/>
      <c r="K18" s="81"/>
    </row>
    <row r="19" spans="1:11" s="43" customFormat="1" ht="31.5" customHeight="1">
      <c r="A19" s="65"/>
      <c r="B19" s="66"/>
      <c r="C19" s="175"/>
      <c r="D19" s="156"/>
      <c r="E19" s="82"/>
      <c r="F19" s="83"/>
      <c r="G19" s="84"/>
      <c r="H19" s="83"/>
      <c r="I19" s="85"/>
      <c r="J19" s="86"/>
      <c r="K19" s="87"/>
    </row>
    <row r="20" spans="1:11" s="43" customFormat="1" ht="31.5" customHeight="1">
      <c r="A20" s="57"/>
      <c r="B20" s="60"/>
      <c r="C20" s="175"/>
      <c r="D20" s="156"/>
      <c r="E20" s="71"/>
      <c r="F20" s="72"/>
      <c r="G20" s="73"/>
      <c r="H20" s="72"/>
      <c r="I20" s="79"/>
      <c r="J20" s="74"/>
      <c r="K20" s="81"/>
    </row>
    <row r="21" spans="1:11" s="43" customFormat="1" ht="31.5" customHeight="1">
      <c r="A21" s="57"/>
      <c r="B21" s="60"/>
      <c r="C21" s="175"/>
      <c r="D21" s="156"/>
      <c r="E21" s="71"/>
      <c r="F21" s="72"/>
      <c r="G21" s="73"/>
      <c r="H21" s="72"/>
      <c r="I21" s="79"/>
      <c r="J21" s="74"/>
      <c r="K21" s="81"/>
    </row>
    <row r="22" spans="1:11" s="43" customFormat="1" ht="16.5" customHeight="1">
      <c r="A22" s="57"/>
      <c r="B22" s="60"/>
      <c r="C22" s="60"/>
      <c r="D22" s="59"/>
      <c r="E22" s="71"/>
      <c r="F22" s="72"/>
      <c r="G22" s="73"/>
      <c r="H22" s="72"/>
      <c r="I22" s="79"/>
      <c r="J22" s="74"/>
      <c r="K22" s="81"/>
    </row>
    <row r="23" spans="1:11" s="43" customFormat="1" ht="16.5" customHeight="1">
      <c r="A23" s="57"/>
      <c r="B23" s="58"/>
      <c r="C23" s="58"/>
      <c r="D23" s="59"/>
      <c r="E23" s="71"/>
      <c r="F23" s="72"/>
      <c r="G23" s="73"/>
      <c r="H23" s="72"/>
      <c r="I23" s="79"/>
      <c r="J23" s="74"/>
      <c r="K23" s="81"/>
    </row>
    <row r="24" spans="1:11" s="43" customFormat="1" ht="16.5" customHeight="1">
      <c r="A24" s="57"/>
      <c r="B24" s="58"/>
      <c r="C24" s="58"/>
      <c r="D24" s="59"/>
      <c r="E24" s="71"/>
      <c r="F24" s="72"/>
      <c r="G24" s="73"/>
      <c r="H24" s="72"/>
      <c r="I24" s="79"/>
      <c r="J24" s="74"/>
      <c r="K24" s="81"/>
    </row>
    <row r="25" spans="1:11" s="43" customFormat="1" ht="16.5" customHeight="1">
      <c r="A25" s="57"/>
      <c r="B25" s="66"/>
      <c r="C25" s="175"/>
      <c r="D25" s="156"/>
      <c r="E25" s="71"/>
      <c r="F25" s="72"/>
      <c r="G25" s="73"/>
      <c r="H25" s="72"/>
      <c r="I25" s="79"/>
      <c r="J25" s="74"/>
      <c r="K25" s="81"/>
    </row>
    <row r="26" spans="1:11" s="43" customFormat="1" ht="16.5" customHeight="1">
      <c r="A26" s="57"/>
      <c r="E26" s="71"/>
      <c r="F26" s="72"/>
      <c r="G26" s="73"/>
      <c r="H26" s="72"/>
      <c r="I26" s="79"/>
      <c r="J26" s="74"/>
      <c r="K26" s="81"/>
    </row>
    <row r="27" spans="1:11" s="43" customFormat="1" ht="10.5" customHeight="1">
      <c r="A27" s="57"/>
      <c r="B27" s="60"/>
      <c r="C27" s="67"/>
      <c r="E27" s="71"/>
      <c r="F27" s="72"/>
      <c r="G27" s="73"/>
      <c r="H27" s="72"/>
      <c r="I27" s="79"/>
      <c r="J27" s="74"/>
      <c r="K27" s="81"/>
    </row>
  </sheetData>
  <mergeCells count="10">
    <mergeCell ref="C5:D5"/>
    <mergeCell ref="C6:D6"/>
    <mergeCell ref="C19:D19"/>
    <mergeCell ref="C4:D4"/>
    <mergeCell ref="C7:D7"/>
    <mergeCell ref="C20:D20"/>
    <mergeCell ref="C21:D21"/>
    <mergeCell ref="C25:D25"/>
    <mergeCell ref="C11:D11"/>
    <mergeCell ref="C10:D10"/>
  </mergeCells>
  <pageMargins left="0.7" right="0.7" top="2" bottom="0.75" header="0.3" footer="0.3"/>
  <pageSetup fitToHeight="0" orientation="portrait" r:id="rId1"/>
  <headerFooter>
    <oddHeader>&amp;R&amp;G</oddHeader>
    <oddFooter>&amp;C&amp;"Times,Roman"&amp;9&amp;G 
1187/33, Shilpa Chambers, First Floor, Off Jangli Maharaj Road, Shivaji Nagar, PUNE 411 005
Tel: +91 20 25541271,40058031   TelFax: +91 20 25540777   Cell: +91 9372510100
eMail: globalinfraprojects@gmail.com&amp;RPage # &amp;P of &amp;N</oddFooter>
  </headerFooter>
  <legacyDrawingHF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48576"/>
  <sheetViews>
    <sheetView topLeftCell="A3" workbookViewId="0">
      <selection sqref="A1:G15"/>
    </sheetView>
  </sheetViews>
  <sheetFormatPr defaultRowHeight="14.25"/>
  <cols>
    <col min="1" max="1" width="9" customWidth="1"/>
    <col min="2" max="2" width="20" customWidth="1"/>
    <col min="3" max="3" width="14.25" bestFit="1" customWidth="1"/>
    <col min="4" max="4" width="14.25" customWidth="1"/>
    <col min="5" max="5" width="10.625" customWidth="1"/>
    <col min="6" max="6" width="4.875" bestFit="1" customWidth="1"/>
    <col min="7" max="7" width="11.125" bestFit="1" customWidth="1"/>
    <col min="9" max="9" width="16.25" bestFit="1" customWidth="1"/>
  </cols>
  <sheetData>
    <row r="1" spans="1:7">
      <c r="A1" s="23" t="s">
        <v>54</v>
      </c>
      <c r="E1" t="s">
        <v>60</v>
      </c>
    </row>
    <row r="2" spans="1:7" ht="15">
      <c r="A2" s="89" t="s">
        <v>55</v>
      </c>
      <c r="E2" t="s">
        <v>61</v>
      </c>
    </row>
    <row r="5" spans="1:7" ht="32.25" customHeight="1">
      <c r="A5" s="103" t="s">
        <v>26</v>
      </c>
      <c r="B5" s="103" t="s">
        <v>24</v>
      </c>
      <c r="C5" s="103" t="s">
        <v>38</v>
      </c>
      <c r="D5" s="103" t="s">
        <v>25</v>
      </c>
      <c r="E5" s="103" t="s">
        <v>32</v>
      </c>
      <c r="F5" s="103" t="s">
        <v>33</v>
      </c>
      <c r="G5" s="103" t="s">
        <v>34</v>
      </c>
    </row>
    <row r="6" spans="1:7">
      <c r="A6" s="98">
        <v>1</v>
      </c>
      <c r="B6" s="176" t="s">
        <v>35</v>
      </c>
      <c r="C6" s="97" t="s">
        <v>39</v>
      </c>
      <c r="D6" s="100">
        <v>1</v>
      </c>
      <c r="E6" s="98">
        <v>2200</v>
      </c>
      <c r="F6" s="99">
        <v>0.18</v>
      </c>
      <c r="G6" s="98">
        <f>SUM((E6*18)/100+E6)</f>
        <v>2596</v>
      </c>
    </row>
    <row r="7" spans="1:7">
      <c r="A7" s="98">
        <v>2</v>
      </c>
      <c r="B7" s="176"/>
      <c r="C7" s="97" t="s">
        <v>42</v>
      </c>
      <c r="D7" s="100">
        <v>1</v>
      </c>
      <c r="E7" s="98">
        <v>2500</v>
      </c>
      <c r="F7" s="99">
        <v>0.18</v>
      </c>
      <c r="G7" s="98">
        <f t="shared" ref="G7:G12" si="0">SUM((E7*18)/100+E7)</f>
        <v>2950</v>
      </c>
    </row>
    <row r="8" spans="1:7">
      <c r="A8" s="98">
        <v>3</v>
      </c>
      <c r="B8" s="176"/>
      <c r="C8" s="97" t="s">
        <v>40</v>
      </c>
      <c r="D8" s="100">
        <v>1</v>
      </c>
      <c r="E8" s="98">
        <v>2500</v>
      </c>
      <c r="F8" s="99">
        <v>0.18</v>
      </c>
      <c r="G8" s="98">
        <f t="shared" si="0"/>
        <v>2950</v>
      </c>
    </row>
    <row r="9" spans="1:7">
      <c r="A9" s="98">
        <v>4</v>
      </c>
      <c r="B9" s="176"/>
      <c r="C9" s="97" t="s">
        <v>41</v>
      </c>
      <c r="D9" s="100">
        <v>1</v>
      </c>
      <c r="E9" s="98">
        <v>2800</v>
      </c>
      <c r="F9" s="99">
        <v>0.18</v>
      </c>
      <c r="G9" s="98">
        <f t="shared" si="0"/>
        <v>3304</v>
      </c>
    </row>
    <row r="10" spans="1:7">
      <c r="A10" s="98">
        <v>5</v>
      </c>
      <c r="B10" s="176" t="s">
        <v>36</v>
      </c>
      <c r="C10" s="97" t="s">
        <v>53</v>
      </c>
      <c r="D10" s="100">
        <v>1</v>
      </c>
      <c r="E10" s="98">
        <v>450</v>
      </c>
      <c r="F10" s="99">
        <v>0.18</v>
      </c>
      <c r="G10" s="98">
        <f t="shared" si="0"/>
        <v>531</v>
      </c>
    </row>
    <row r="11" spans="1:7">
      <c r="A11" s="98">
        <v>6</v>
      </c>
      <c r="B11" s="176"/>
      <c r="C11" s="97" t="s">
        <v>52</v>
      </c>
      <c r="D11" s="100">
        <v>1</v>
      </c>
      <c r="E11" s="98">
        <v>650</v>
      </c>
      <c r="F11" s="99">
        <v>0.18</v>
      </c>
      <c r="G11" s="98">
        <f t="shared" si="0"/>
        <v>767</v>
      </c>
    </row>
    <row r="12" spans="1:7">
      <c r="A12" s="98">
        <v>7</v>
      </c>
      <c r="B12" s="100" t="s">
        <v>37</v>
      </c>
      <c r="C12" s="97"/>
      <c r="D12" s="100">
        <v>1</v>
      </c>
      <c r="E12" s="98">
        <v>250</v>
      </c>
      <c r="F12" s="99">
        <v>0.18</v>
      </c>
      <c r="G12" s="98">
        <f t="shared" si="0"/>
        <v>295</v>
      </c>
    </row>
    <row r="13" spans="1:7">
      <c r="A13" s="96"/>
      <c r="B13" s="96"/>
      <c r="C13" s="96"/>
      <c r="D13" s="96"/>
      <c r="E13" s="96"/>
      <c r="F13" s="96"/>
      <c r="G13" s="96"/>
    </row>
    <row r="14" spans="1:7">
      <c r="A14" s="96"/>
      <c r="B14" s="101" t="s">
        <v>31</v>
      </c>
      <c r="C14" s="96"/>
      <c r="D14" s="96"/>
      <c r="E14" s="96"/>
      <c r="F14" s="96"/>
      <c r="G14" s="102">
        <f>SUM(G6:G12)</f>
        <v>13393</v>
      </c>
    </row>
    <row r="1048576" spans="3:4">
      <c r="C1048576" s="95" t="s">
        <v>39</v>
      </c>
      <c r="D1048576" s="95"/>
    </row>
  </sheetData>
  <mergeCells count="2">
    <mergeCell ref="B6:B9"/>
    <mergeCell ref="B10:B11"/>
  </mergeCells>
  <pageMargins left="0.7" right="0.7" top="0.75" bottom="0.75" header="0.3" footer="0.3"/>
  <pageSetup orientation="portrait" horizontalDpi="4294967292"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2"/>
  <sheetViews>
    <sheetView workbookViewId="0">
      <selection activeCell="D20" sqref="D20"/>
    </sheetView>
  </sheetViews>
  <sheetFormatPr defaultRowHeight="14.25"/>
  <sheetData>
    <row r="1" spans="1:8">
      <c r="A1" t="s">
        <v>43</v>
      </c>
      <c r="B1" t="s">
        <v>46</v>
      </c>
      <c r="C1" t="s">
        <v>47</v>
      </c>
      <c r="D1" t="s">
        <v>48</v>
      </c>
      <c r="E1" t="s">
        <v>48</v>
      </c>
      <c r="G1" t="s">
        <v>49</v>
      </c>
    </row>
    <row r="2" spans="1:8">
      <c r="A2">
        <v>1.25</v>
      </c>
      <c r="B2">
        <v>19.8</v>
      </c>
      <c r="C2">
        <v>600</v>
      </c>
      <c r="D2">
        <v>15</v>
      </c>
      <c r="E2">
        <v>15</v>
      </c>
      <c r="F2">
        <f>SUM(C2/E2)</f>
        <v>40</v>
      </c>
      <c r="G2">
        <v>348</v>
      </c>
      <c r="H2">
        <f>SUM(G2/F2)</f>
        <v>8.6999999999999993</v>
      </c>
    </row>
    <row r="3" spans="1:8">
      <c r="A3">
        <v>1</v>
      </c>
      <c r="B3">
        <v>19.8</v>
      </c>
      <c r="C3">
        <v>600</v>
      </c>
      <c r="D3">
        <v>117</v>
      </c>
      <c r="E3">
        <f>SUM(D3:D4)</f>
        <v>246</v>
      </c>
      <c r="F3">
        <f>SUM(C3/E3)</f>
        <v>2.4390243902439024</v>
      </c>
      <c r="G3">
        <v>319</v>
      </c>
      <c r="H3">
        <f>SUM(G3/F3)</f>
        <v>130.79</v>
      </c>
    </row>
    <row r="4" spans="1:8">
      <c r="D4">
        <v>129</v>
      </c>
    </row>
    <row r="5" spans="1:8">
      <c r="A5" t="s">
        <v>44</v>
      </c>
      <c r="B5">
        <v>12</v>
      </c>
      <c r="C5">
        <v>365</v>
      </c>
      <c r="D5">
        <v>29.4</v>
      </c>
      <c r="E5">
        <f>SUM(D5:D6)</f>
        <v>76.400000000000006</v>
      </c>
      <c r="F5">
        <f>SUM(C5/E5)</f>
        <v>4.7774869109947637</v>
      </c>
      <c r="G5">
        <v>158</v>
      </c>
      <c r="H5">
        <f>SUM(G5/F5)</f>
        <v>33.071780821917812</v>
      </c>
    </row>
    <row r="6" spans="1:8">
      <c r="D6">
        <v>47</v>
      </c>
    </row>
    <row r="7" spans="1:8">
      <c r="A7" t="s">
        <v>45</v>
      </c>
      <c r="E7">
        <v>15</v>
      </c>
      <c r="G7">
        <v>15</v>
      </c>
      <c r="H7">
        <v>15</v>
      </c>
    </row>
    <row r="8" spans="1:8">
      <c r="A8" t="s">
        <v>50</v>
      </c>
      <c r="H8">
        <v>150</v>
      </c>
    </row>
    <row r="9" spans="1:8">
      <c r="A9" t="s">
        <v>51</v>
      </c>
      <c r="H9">
        <v>30</v>
      </c>
    </row>
    <row r="11" spans="1:8">
      <c r="H11">
        <f>SUM(H2:H9)</f>
        <v>367.56178082191781</v>
      </c>
    </row>
    <row r="12" spans="1:8">
      <c r="H12">
        <v>370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CL</vt:lpstr>
      <vt:lpstr>QOT</vt:lpstr>
      <vt:lpstr>T&amp;C</vt:lpstr>
      <vt:lpstr>Sheet1</vt:lpstr>
      <vt:lpstr>Sheet2</vt:lpstr>
      <vt:lpstr>CL!Print_Area</vt:lpstr>
      <vt:lpstr>QOT!Print_Area</vt:lpstr>
      <vt:lpstr>'T&amp;C'!Print_Area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Shirish</dc:creator>
  <cp:lastModifiedBy>Shirish</cp:lastModifiedBy>
  <cp:lastPrinted>2020-12-27T17:02:35Z</cp:lastPrinted>
  <dcterms:created xsi:type="dcterms:W3CDTF">2017-11-30T13:13:12Z</dcterms:created>
  <dcterms:modified xsi:type="dcterms:W3CDTF">2020-12-27T17:05:29Z</dcterms:modified>
</cp:coreProperties>
</file>